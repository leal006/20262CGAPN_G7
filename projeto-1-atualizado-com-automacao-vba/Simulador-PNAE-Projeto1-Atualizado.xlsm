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ropbox\FGV\Disciplinas\2026\2026_02\Dados para PP\Aulas\"/>
    </mc:Choice>
  </mc:AlternateContent>
  <xr:revisionPtr revIDLastSave="0" documentId="13_ncr:1_{91F3C2C2-F753-4BF5-A1A1-4F63C611AEED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<ns0:sst xmlns:ns0="http://schemas.openxmlformats.org/spreadsheetml/2006/main" count="73" uniqueCount="51">
  <ns0:si>
    <ns0:t>Parâmetros do PNAE — 2026</ns0:t>
  </ns0:si>
  <ns0:si>
    <ns0:t>Fonte: Resolução CD/FNDE nº 1, de 18 de fevereiro de 2026 (altera a Resolução CD/FNDE nº 6/2020). Reajuste médio de 14,35% em relação a 2025. Valores em vigor desde a primeira parcela de 2026.</ns0:t>
  </ns0:si>
  <ns0:si>
    <ns0:t>Modalidade</ns0:t>
  </ns0:si>
  <ns0:si>
    <ns0:t>Valor per capita (R$/dia)</ns0:t>
  </ns0:si>
  <ns0:si>
    <ns0:t>Creche</ns0:t>
  </ns0:si>
  <ns0:si>
    <ns0:t>Pré-escola</ns0:t>
  </ns0:si>
  <ns0:si>
    <ns0:t>Fundamental</ns0:t>
  </ns0:si>
  <ns0:si>
    <ns0:t>Médio</ns0:t>
  </ns0:si>
  <ns0:si>
    <ns0:t>EJA</ns0:t>
  </ns0:si>
  <ns0:si>
    <ns0:t>Indígena/Quilombola</ns0:t>
  </ns0:si>
  <ns0:si>
    <ns0:t>AEE (contraturno)</ns0:t>
  </ns0:si>
  <ns0:si>
    <ns0:t>Dias letivos (ano)</ns0:t>
  </ns0:si>
  <ns0:si>
    <ns0:t>Faixas de Porte da Escola (classificação didática)</ns0:t>
  </ns0:si>
  <ns0:si>
    <ns0:t>Matrículas (mínimo)</ns0:t>
  </ns0:si>
  <ns0:si>
    <ns0:t>Porte</ns0:t>
  </ns0:si>
  <ns0:si>
    <ns0:t>Pequena</ns0:t>
  </ns0:si>
  <ns0:si>
    <ns0:t>Média</ns0:t>
  </ns0:si>
  <ns0:si>
    <ns0:t>Grande</ns0:t>
  </ns0:si>
  <ns0:si>
    <ns0:t>Faixas criadas para fins didáticos deste curso</ns0:t>
  </ns0:si>
  <ns0:si>
    <ns0:t>Projeto 1 — Simulador de Repasse do PNAE</ns0:t>
  </ns0:si>
  <ns0:si>
    <ns0:t>Escola e matrículas fictícias, criadas para fins didáticos. Valores per capita, dias letivos e a regra de cálculo do repasse são reais (Resolução CD/FNDE nº 1/2026). O bairro é real, no município de Osasco/SP.</ns0:t>
  </ns0:si>
  <ns0:si>
    <ns0:t>Nome da Escola (fictício)</ns0:t>
  </ns0:si>
  <ns0:si>
    <ns0:t>EMEB Vila Quitaúna</ns0:t>
  </ns0:si>
  <ns0:si>
    <ns0:t>Bairro</ns0:t>
  </ns0:si>
  <ns0:si>
    <ns0:t>Quitaúna</ns0:t>
  </ns0:si>
  <ns0:si>
    <ns0:t>Município</ns0:t>
  </ns0:si>
  <ns0:si>
    <ns0:t>Osasco/SP</ns0:t>
  </ns0:si>
  <ns0:si>
    <ns0:t>Matrículas por modalidade (ano letivo projetado)</ns0:t>
  </ns0:si>
  <ns0:si>
    <ns0:t>Matrículas</ns0:t>
  </ns0:si>
  <ns0:si>
    <ns0:t>Total de Matrículas</ns0:t>
  </ns0:si>
  <ns0:si>
    <ns0:t>Porte da Escola</ns0:t>
  </ns0:si>
  <ns0:si>
    <ns0:t>Dias letivos</ns0:t>
  </ns0:si>
  <ns0:si>
    <ns0:t>Repasse Anual Estimado (R$)</ns0:t>
  </ns0:si>
  <ns0:si>
    <ns0:t>Elegibilidade para complementação municipal (regra de exercício)</ns0:t>
  </ns0:si>
  <ns0:si>
    <ns0:t>Regra criada apenas para praticar SE aninhado e E/OU; não reproduz nenhum critério oficial de complementação.</ns0:t>
  </ns0:si>
  <ns0:si>
    <ns0:t>Racional da Taxa</ns0:t>
  </ns0:si>
  <ns0:si>
    <ns0:t>Explique aqui o motivo do fator de ajuste escolhido</ns0:t>
  </ns0:si>
  <ns0:si>
    <ns0:t>Modelo para Simulação</ns0:t>
  </ns0:si>
  <ns0:si>
    <ns0:t>Fator de Ajuste</ns0:t>
  </ns0:si>
  <ns0:si>
    <ns0:t>Matriculadas Ajustadas</ns0:t>
  </ns0:si>
  <ns0:si>
    <ns0:t>Total de Matrículas e Repasse</ns0:t>
  </ns0:si>
  <ns0:si>
    <ns0:t>TABELA DE DADOS -&gt; Selecionar de A39 até C48 -&gt; Dados/Teste de Hipótese/Tabela de Dados -&gt; Linha não preencher e Coluna informar C26</ns0:t>
  </ns0:si>
  <ns0:si>
    <ns0:t>Fator de Variação</ns0:t>
  </ns0:si>
  <ns0:si>
    <ns0:t>Banco de Dados de Simulações — Projeto 1 (PNAE)</ns0:t>
  </ns0:si>
  <ns0:si>
    <ns0:t>Cada linha abaixo é gravada automaticamente pela macro RegistrarSimulacao ao clicar no botão da aba Simulador_Escola.</ns0:t>
  </ns0:si>
  <ns0:si>
    <ns0:t>ID</ns0:t>
  </ns0:si>
  <ns0:si>
    <ns0:t>Data/Hora</ns0:t>
  </ns0:si>
  <ns0:si>
    <ns0:t>Total de Matrículas Ajustadas</ns0:t>
  </ns0:si>
  <ns0:si>
    <ns0:t>Repasse Ajustado (R$)</ns0:t>
  </ns0:si>
  <ns0:si>
    <ns0:t>Usuário da Simulação</ns0:t>
  </ns0:si>
  <ns0:si>
    <ns0:t>Usuário</ns0:t>
  </ns0:si>
</ns0:sst>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dd/mm/yyyy\ hh:mm"/>
    <numFmt numFmtId="166" formatCode="0.0%"/>
    <numFmt numFmtId="167" formatCode="\R&quot;R$&quot;\ #,##0.00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tabSelected="1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38" t="s">
        <v>0</v>
      </c>
      <c r="B1" s="38"/>
    </row>
    <row r="2" spans="1:2" ht="62.25" customHeight="1" x14ac:dyDescent="0.25">
      <c r="A2" s="39" t="s">
        <v>1</v>
      </c>
      <c r="B2" s="39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0" t="s">
        <v>12</v>
      </c>
      <c r="B15" s="40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1" t="s">
        <v>18</v>
      </c>
      <c r="B20" s="41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xmlns:ns4="http://schemas.openxmlformats.org/officeDocument/2006/relationships" ns1:Ignorable="x14ac xr xr2 xr3" ns2:uid="{00000000-0001-0000-0100-000000000000}">
  <ns0:sheetPr codeName="Planilha2"/>
  <ns0:dimension ref="A1:D48"/>
  <ns0:sheetViews>
    <ns0:sheetView showGridLines="0" topLeftCell="A9" zoomScaleNormal="100" workbookViewId="0">
      <ns0:selection activeCell="F31" sqref="F31"/>
    </ns0:sheetView>
  </ns0:sheetViews>
  <ns0:sheetFormatPr defaultColWidth="8.7109375" defaultRowHeight="15" ns3:dyDescent="0.25"/>
  <ns0:cols>
    <ns0:col min="1" max="1" width="30" customWidth="1"/>
    <ns0:col min="2" max="2" width="18.42578125" customWidth="1"/>
    <ns0:col min="3" max="3" width="18.28515625" customWidth="1"/>
    <ns0:col min="4" max="4" width="15.7109375" customWidth="1"/>
    <ns0:col min="5" max="5" width="16" customWidth="1"/>
    <ns0:col min="6" max="6" width="20" customWidth="1"/>
    <ns0:col min="7" max="7" width="22" customWidth="1"/>
    <ns0:col min="8" max="8" width="10" customWidth="1"/>
    <ns0:col min="9" max="9" width="11.7109375" customWidth="1"/>
  </ns0:cols>
  <ns0:sheetData>
    <ns0:row r="1" spans="1:3" ht="25.5" customHeight="1" ns3:dyDescent="0.25">
      <ns0:c r="A1" s="44" t="s">
        <ns0:v>19</ns0:v>
      </ns0:c>
      <ns0:c r="B1" s="44"/>
      <ns0:c r="C1" s="44"/>
    </ns0:row>
    <ns0:row r="2" spans="1:3" ht="39.75" customHeight="1" ns3:dyDescent="0.25">
      <ns0:c r="A2" s="39" t="s">
        <ns0:v>20</ns0:v>
      </ns0:c>
      <ns0:c r="B2" s="39"/>
      <ns0:c r="C2" s="39"/>
    </ns0:row>
    <ns0:row r="4" spans="1:3" ns3:dyDescent="0.25">
      <ns0:c r="A4" s="4" t="s">
        <ns0:v>21</ns0:v>
      </ns0:c>
      <ns0:c r="B4" s="7" t="s">
        <ns0:v>22</ns0:v>
      </ns0:c>
    </ns0:row>
    <ns0:row r="5" spans="1:3" ns3:dyDescent="0.25">
      <ns0:c r="A5" s="4" t="s">
        <ns0:v>23</ns0:v>
      </ns0:c>
      <ns0:c r="B5" s="7" t="s">
        <ns0:v>24</ns0:v>
      </ns0:c>
    </ns0:row>
    <ns0:row r="6" spans="1:3" ns3:dyDescent="0.25">
      <ns0:c r="A6" s="4" t="s">
        <ns0:v>25</ns0:v>
      </ns0:c>
      <ns0:c r="B6" s="7" t="s">
        <ns0:v>26</ns0:v>
      </ns0:c>
    </ns0:row>
    <ns0:row r="8" spans="1:3" ns3:dyDescent="0.25">
      <ns0:c r="A8" s="40" t="s">
        <ns0:v>27</ns0:v>
      </ns0:c>
      <ns0:c r="B8" s="40"/>
      <ns0:c r="C8" s="40"/>
    </ns0:row>
    <ns0:row r="9" spans="1:3" ht="30" customHeight="1" ns3:dyDescent="0.25">
      <ns0:c r="A9" s="1" t="s">
        <ns0:v>2</ns0:v>
      </ns0:c>
      <ns0:c r="B9" s="1" t="s">
        <ns0:v>28</ns0:v>
      </ns0:c>
      <ns0:c r="C9" s="1" t="s">
        <ns0:v>3</ns0:v>
      </ns0:c>
    </ns0:row>
    <ns0:row r="10" spans="1:3" ns3:dyDescent="0.25">
      <ns0:c r="A10" s="2" t="s">
        <ns0:v>4</ns0:v>
      </ns0:c>
      <ns0:c r="B10" s="8">
        <ns0:v>60</ns0:v>
      </ns0:c>
      <ns0:c r="C10" s="9">
        <ns0:f>VLOOKUP(A10,Parametros_PNAE!$A$5:$B$11,2,FALSE())</ns0:f>
        <ns0:v>1.57</ns0:v>
      </ns0:c>
    </ns0:row>
    <ns0:row r="11" spans="1:3" ns3:dyDescent="0.25">
      <ns0:c r="A11" s="2" t="s">
        <ns0:v>5</ns0:v>
      </ns0:c>
      <ns0:c r="B11" s="8">
        <ns0:v>80</ns0:v>
      </ns0:c>
      <ns0:c r="C11" s="9">
        <ns0:f>VLOOKUP(A11,Parametros_PNAE!$A$5:$B$11,2,FALSE())</ns0:f>
        <ns0:v>0.82</ns0:v>
      </ns0:c>
    </ns0:row>
    <ns0:row r="12" spans="1:3" ns3:dyDescent="0.25">
      <ns0:c r="A12" s="2" t="s">
        <ns0:v>6</ns0:v>
      </ns0:c>
      <ns0:c r="B12" s="8">
        <ns0:v>50</ns0:v>
      </ns0:c>
      <ns0:c r="C12" s="9">
        <ns0:f>VLOOKUP(A12,Parametros_PNAE!$A$5:$B$11,2,FALSE())</ns0:f>
        <ns0:v>0.56999999999999995</ns0:v>
      </ns0:c>
    </ns0:row>
    <ns0:row r="13" spans="1:3" ns3:dyDescent="0.25">
      <ns0:c r="A13" s="2" t="s">
        <ns0:v>7</ns0:v>
      </ns0:c>
      <ns0:c r="B13" s="8">
        <ns0:v>0</ns0:v>
      </ns0:c>
      <ns0:c r="C13" s="9">
        <ns0:f>VLOOKUP(A13,Parametros_PNAE!$A$5:$B$11,2,FALSE())</ns0:f>
        <ns0:v>0.56999999999999995</ns0:v>
      </ns0:c>
    </ns0:row>
    <ns0:row r="14" spans="1:3" ns3:dyDescent="0.25">
      <ns0:c r="A14" s="2" t="s">
        <ns0:v>8</ns0:v>
      </ns0:c>
      <ns0:c r="B14" s="8">
        <ns0:v>0</ns0:v>
      </ns0:c>
      <ns0:c r="C14" s="9">
        <ns0:f>VLOOKUP(A14,Parametros_PNAE!$A$5:$B$11,2,FALSE())</ns0:f>
        <ns0:v>0.56999999999999995</ns0:v>
      </ns0:c>
    </ns0:row>
    <ns0:row r="15" spans="1:3" ns3:dyDescent="0.25">
      <ns0:c r="A15" s="2" t="s">
        <ns0:v>9</ns0:v>
      </ns0:c>
      <ns0:c r="B15" s="8">
        <ns0:v>0</ns0:v>
      </ns0:c>
      <ns0:c r="C15" s="9">
        <ns0:f>VLOOKUP(A15,Parametros_PNAE!$A$5:$B$11,2,FALSE())</ns0:f>
        <ns0:v>0.98</ns0:v>
      </ns0:c>
    </ns0:row>
    <ns0:row r="16" spans="1:3" ns3:dyDescent="0.25">
      <ns0:c r="A16" s="2" t="s">
        <ns0:v>10</ns0:v>
      </ns0:c>
      <ns0:c r="B16" s="8">
        <ns0:v>0</ns0:v>
      </ns0:c>
      <ns0:c r="C16" s="9">
        <ns0:f>VLOOKUP(A16,Parametros_PNAE!$A$5:$B$11,2,FALSE())</ns0:f>
        <ns0:v>0.78</ns0:v>
      </ns0:c>
    </ns0:row>
    <ns0:row r="17" spans="1:4" ns3:dyDescent="0.25">
      <ns0:c r="A17" s="10" t="s">
        <ns0:v>29</ns0:v>
      </ns0:c>
      <ns0:c r="B17" s="11">
        <ns0:f>SUM(B10:B16)</ns0:f>
        <ns0:v>190</ns0:v>
      </ns0:c>
      <ns0:c r="C17" s="12"/>
    </ns0:row>
    <ns0:row r="19" spans="1:4" ns3:dyDescent="0.25">
      <ns0:c r="A19" s="4" t="s">
        <ns0:v>30</ns0:v>
      </ns0:c>
      <ns0:c r="B19" s="13" t="str">
        <ns0:f>VLOOKUP(B17,Parametros_PNAE!$A$17:$B$19,2,TRUE())</ns0:f>
        <ns0:v>Pequena</ns0:v>
      </ns0:c>
      <ns0:c r="C19" s="12"/>
    </ns0:row>
    <ns0:row r="20" spans="1:4" ns3:dyDescent="0.25">
      <ns0:c r="A20" s="4" t="s">
        <ns0:v>31</ns0:v>
      </ns0:c>
      <ns0:c r="B20" s="13">
        <ns0:f>Parametros_PNAE!$B$13</ns0:f>
        <ns0:v>200</ns0:v>
      </ns0:c>
      <ns0:c r="C20" s="12"/>
    </ns0:row>
    <ns0:row r="21" spans="1:4" ns3:dyDescent="0.25">
      <ns0:c r="A21" s="4" t="s">
        <ns0:v>32</ns0:v>
      </ns0:c>
      <ns0:c r="B21" s="14">
        <ns0:f>SUMPRODUCT(B10:B16,C10:C16)*B20</ns0:f>
        <ns0:v>37660</ns0:v>
      </ns0:c>
      <ns0:c r="C21" s="12"/>
    </ns0:row>
    <ns0:row r="22" spans="1:4" ht="25.5" customHeight="1">
      <ns0:c r="B22" s="16" t="s">
        <ns0:v>49</ns0:v>
      </ns0:c>
      <ns0:c r="C22" s="42"/>
    </ns0:row>
    <ns0:row r="23" spans="1:4" ht="30" customHeight="1" ns3:dyDescent="0.25">
      <ns0:c r="A23" s="45" t="s">
        <ns0:v>33</ns0:v>
      </ns0:c>
      <ns0:c r="B23" s="45"/>
      <ns0:c r="C23" s="15" t="str">
        <ns0:f>IF(AND(B19="Pequena",OR(B10&gt;0,B11&gt;0)),"Sim (regra fictícia de exercício)","Não")</ns0:f>
        <ns0:v>Sim (regra fictícia de exercício)</ns0:v>
      </ns0:c>
    </ns0:row>
    <ns0:row r="24" spans="1:4" ht="25.5" customHeight="1" ns3:dyDescent="0.25">
      <ns0:c r="A24" s="46" t="s">
        <ns0:v>34</ns0:v>
      </ns0:c>
      <ns0:c r="B24" s="46"/>
      <ns0:c r="C24" s="46"/>
    </ns0:row>
    <ns0:row r="25" spans="1:4" ht="57" customHeight="1" ns3:dyDescent="0.25">
      <ns0:c r="B25" s="16" t="s">
        <ns0:v>35</ns0:v>
      </ns0:c>
      <ns0:c r="C25" s="42" t="s">
        <ns0:v>36</ns0:v>
      </ns0:c>
      <ns0:c r="D25" s="42"/>
    </ns0:row>
    <ns0:row r="26" spans="1:4" ht="15.75" customHeight="1" ns3:dyDescent="0.25">
      <ns0:c r="A26" s="17" t="s">
        <ns0:v>37</ns0:v>
      </ns0:c>
      <ns0:c r="B26" s="18" t="s">
        <ns0:v>38</ns0:v>
      </ns0:c>
      <ns0:c r="C26" s="19">
        <ns0:v>0</ns0:v>
      </ns0:c>
    </ns0:row>
    <ns0:row r="27" spans="1:4" ht="25.5" customHeight="1" ns3:dyDescent="0.25">
      <ns0:c r="A27" s="20" t="s">
        <ns0:v>2</ns0:v>
      </ns0:c>
      <ns0:c r="B27" s="20" t="s">
        <ns0:v>28</ns0:v>
      </ns0:c>
      <ns0:c r="C27" s="21" t="s">
        <ns0:v>39</ns0:v>
      </ns0:c>
      <ns0:c r="D27" s="20" t="s">
        <ns0:v>3</ns0:v>
      </ns0:c>
    </ns0:row>
    <ns0:row r="28" spans="1:4" ns3:dyDescent="0.25">
      <ns0:c r="A28" s="22" t="s">
        <ns0:v>4</ns0:v>
      </ns0:c>
      <ns0:c r="B28" s="23">
        <ns0:v>60</ns0:v>
      </ns0:c>
      <ns0:c r="C28" s="24">
        <ns0:f t="shared" ref="C28:C34" si="0">B28*(1+$C$26)</ns0:f>
        <ns0:v>60</ns0:v>
      </ns0:c>
      <ns0:c r="D28" s="25">
        <ns0:f t="shared" ref="D28:D34" si="1">C10</ns0:f>
        <ns0:v>1.57</ns0:v>
      </ns0:c>
    </ns0:row>
    <ns0:row r="29" spans="1:4" ns3:dyDescent="0.25">
      <ns0:c r="A29" s="22" t="s">
        <ns0:v>5</ns0:v>
      </ns0:c>
      <ns0:c r="B29" s="23">
        <ns0:v>80</ns0:v>
      </ns0:c>
      <ns0:c r="C29" s="24">
        <ns0:f t="shared" si="0"/>
        <ns0:v>80</ns0:v>
      </ns0:c>
      <ns0:c r="D29" s="25">
        <ns0:f t="shared" si="1"/>
        <ns0:v>0.82</ns0:v>
      </ns0:c>
    </ns0:row>
    <ns0:row r="30" spans="1:4" ns3:dyDescent="0.25">
      <ns0:c r="A30" s="22" t="s">
        <ns0:v>6</ns0:v>
      </ns0:c>
      <ns0:c r="B30" s="23">
        <ns0:v>50</ns0:v>
      </ns0:c>
      <ns0:c r="C30" s="24">
        <ns0:f t="shared" si="0"/>
        <ns0:v>50</ns0:v>
      </ns0:c>
      <ns0:c r="D30" s="25">
        <ns0:f t="shared" si="1"/>
        <ns0:v>0.56999999999999995</ns0:v>
      </ns0:c>
    </ns0:row>
    <ns0:row r="31" spans="1:4" ns3:dyDescent="0.25">
      <ns0:c r="A31" s="22" t="s">
        <ns0:v>7</ns0:v>
      </ns0:c>
      <ns0:c r="B31" s="23">
        <ns0:v>0</ns0:v>
      </ns0:c>
      <ns0:c r="C31" s="24">
        <ns0:f t="shared" si="0"/>
        <ns0:v>0</ns0:v>
      </ns0:c>
      <ns0:c r="D31" s="25">
        <ns0:f t="shared" si="1"/>
        <ns0:v>0.56999999999999995</ns0:v>
      </ns0:c>
    </ns0:row>
    <ns0:row r="32" spans="1:4" ns3:dyDescent="0.25">
      <ns0:c r="A32" s="22" t="s">
        <ns0:v>8</ns0:v>
      </ns0:c>
      <ns0:c r="B32" s="23">
        <ns0:v>0</ns0:v>
      </ns0:c>
      <ns0:c r="C32" s="24">
        <ns0:f t="shared" si="0"/>
        <ns0:v>0</ns0:v>
      </ns0:c>
      <ns0:c r="D32" s="25">
        <ns0:f t="shared" si="1"/>
        <ns0:v>0.56999999999999995</ns0:v>
      </ns0:c>
    </ns0:row>
    <ns0:row r="33" spans="1:4" ns3:dyDescent="0.25">
      <ns0:c r="A33" s="22" t="s">
        <ns0:v>9</ns0:v>
      </ns0:c>
      <ns0:c r="B33" s="23">
        <ns0:v>0</ns0:v>
      </ns0:c>
      <ns0:c r="C33" s="24">
        <ns0:f t="shared" si="0"/>
        <ns0:v>0</ns0:v>
      </ns0:c>
      <ns0:c r="D33" s="25">
        <ns0:f t="shared" si="1"/>
        <ns0:v>0.98</ns0:v>
      </ns0:c>
    </ns0:row>
    <ns0:row r="34" spans="1:4" ns3:dyDescent="0.25">
      <ns0:c r="A34" s="22" t="s">
        <ns0:v>10</ns0:v>
      </ns0:c>
      <ns0:c r="B34" s="23">
        <ns0:v>0</ns0:v>
      </ns0:c>
      <ns0:c r="C34" s="24">
        <ns0:f t="shared" si="0"/>
        <ns0:v>0</ns0:v>
      </ns0:c>
      <ns0:c r="D34" s="25">
        <ns0:f t="shared" si="1"/>
        <ns0:v>0.78</ns0:v>
      </ns0:c>
    </ns0:row>
    <ns0:row r="35" spans="1:4" ns3:dyDescent="0.25">
      <ns0:c r="A35" s="26" t="s">
        <ns0:v>40</ns0:v>
      </ns0:c>
      <ns0:c r="B35" s="27">
        <ns0:f>SUM(B28:B34)</ns0:f>
        <ns0:v>190</ns0:v>
      </ns0:c>
      <ns0:c r="C35" s="27">
        <ns0:f>SUM(C28:C34)</ns0:f>
        <ns0:v>190</ns0:v>
      </ns0:c>
      <ns0:c r="D35" s="28">
        <ns0:f>SUMPRODUCT(C28:C34,D28:D34)*B20</ns0:f>
        <ns0:v>37660</ns0:v>
      </ns0:c>
    </ns0:row>
    <ns0:row r="37" spans="1:4" ht="15" customHeight="1" ns3:dyDescent="0.25">
      <ns0:c r="A37" s="43" t="s">
        <ns0:v>41</ns0:v>
      </ns0:c>
      <ns0:c r="B37" s="43"/>
      <ns0:c r="C37" s="43"/>
    </ns0:row>
    <ns0:row r="38" spans="1:4" ns3:dyDescent="0.25">
      <ns0:c r="A38" s="43"/>
      <ns0:c r="B38" s="43"/>
      <ns0:c r="C38" s="43"/>
    </ns0:row>
    <ns0:row r="39" spans="1:4" ns3:dyDescent="0.25">
      <ns0:c r="A39" s="20" t="s">
        <ns0:v>42</ns0:v>
      </ns0:c>
      <ns0:c r="B39" s="29">
        <ns0:f>C35</ns0:f>
        <ns0:v>190</ns0:v>
      </ns0:c>
      <ns0:c r="C39" s="30">
        <ns0:f>D35</ns0:f>
        <ns0:v>37660</ns0:v>
      </ns0:c>
    </ns0:row>
    <ns0:row r="40" spans="1:4" ns3:dyDescent="0.25">
      <ns0:c r="A40" s="31">
        <ns0:v>-0.2</ns0:v>
      </ns0:c>
      <ns0:c r="B40" s="24">
        <ns0:v>152</ns0:v>
      </ns0:c>
      <ns0:c r="C40" s="32">
        <ns0:v>30128</ns0:v>
      </ns0:c>
    </ns0:row>
    <ns0:row r="41" spans="1:4" ns3:dyDescent="0.25">
      <ns0:c r="A41" s="31">
        <ns0:v>-0.15</ns0:v>
      </ns0:c>
      <ns0:c r="B41" s="24">
        <ns0:v>161.5</ns0:v>
      </ns0:c>
      <ns0:c r="C41" s="32">
        <ns0:v>32011</ns0:v>
      </ns0:c>
    </ns0:row>
    <ns0:row r="42" spans="1:4" ns3:dyDescent="0.25">
      <ns0:c r="A42" s="31">
        <ns0:v>-0.1</ns0:v>
      </ns0:c>
      <ns0:c r="B42" s="24">
        <ns0:v>171</ns0:v>
      </ns0:c>
      <ns0:c r="C42" s="32">
        <ns0:v>33894</ns0:v>
      </ns0:c>
    </ns0:row>
    <ns0:row r="43" spans="1:4" ns3:dyDescent="0.25">
      <ns0:c r="A43" s="31">
        <ns0:v>-0.05</ns0:v>
      </ns0:c>
      <ns0:c r="B43" s="24">
        <ns0:v>180.5</ns0:v>
      </ns0:c>
      <ns0:c r="C43" s="32">
        <ns0:v>35777</ns0:v>
      </ns0:c>
    </ns0:row>
    <ns0:row r="44" spans="1:4" ns3:dyDescent="0.25">
      <ns0:c r="A44" s="33">
        <ns0:v>0</ns0:v>
      </ns0:c>
      <ns0:c r="B44" s="34">
        <ns0:v>190</ns0:v>
      </ns0:c>
      <ns0:c r="C44" s="35">
        <ns0:v>37660</ns0:v>
      </ns0:c>
    </ns0:row>
    <ns0:row r="45" spans="1:4" ns3:dyDescent="0.25">
      <ns0:c r="A45" s="31">
        <ns0:v>0.05</ns0:v>
      </ns0:c>
      <ns0:c r="B45" s="24">
        <ns0:v>199.5</ns0:v>
      </ns0:c>
      <ns0:c r="C45" s="32">
        <ns0:v>39543</ns0:v>
      </ns0:c>
    </ns0:row>
    <ns0:row r="46" spans="1:4" ns3:dyDescent="0.25">
      <ns0:c r="A46" s="31">
        <ns0:v>0.1</ns0:v>
      </ns0:c>
      <ns0:c r="B46" s="24">
        <ns0:v>209</ns0:v>
      </ns0:c>
      <ns0:c r="C46" s="32">
        <ns0:v>41426</ns0:v>
      </ns0:c>
    </ns0:row>
    <ns0:row r="47" spans="1:4" ns3:dyDescent="0.25">
      <ns0:c r="A47" s="31">
        <ns0:v>0.15</ns0:v>
      </ns0:c>
      <ns0:c r="B47" s="24">
        <ns0:v>218.5</ns0:v>
      </ns0:c>
      <ns0:c r="C47" s="32">
        <ns0:v>43309</ns0:v>
      </ns0:c>
    </ns0:row>
    <ns0:row r="48" spans="1:4" ns3:dyDescent="0.25">
      <ns0:c r="A48" s="31">
        <ns0:v>0.2</ns0:v>
      </ns0:c>
      <ns0:c r="B48" s="24">
        <ns0:v>228</ns0:v>
      </ns0:c>
      <ns0:c r="C48" s="32">
        <ns0:v>45192</ns0:v>
      </ns0:c>
    </ns0:row>
  </ns0:sheetData>
  <ns0:mergeCells count="7">
    <ns0:mergeCell ref="C25:D25"/>
    <ns0:mergeCell ref="A37:C38"/>
    <ns0:mergeCell ref="A1:C1"/>
    <ns0:mergeCell ref="A2:C2"/>
    <ns0:mergeCell ref="A8:C8"/>
    <ns0:mergeCell ref="A23:B23"/>
    <ns0:mergeCell ref="A24:C24"/>
  </ns0:mergeCells>
  <ns0:pageMargins left="0.75" right="0.75" top="1" bottom="1" header="0.511811023622047" footer="0.511811023622047"/>
  <ns0:pageSetup paperSize="9" orientation="portrait" horizontalDpi="300" verticalDpi="300"/>
  <ns0:drawing ns4:id="rId1"/>
</ns0:worksheet>
</file>

<file path=xl/worksheets/sheet3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microsoft.com/office/spreadsheetml/2009/9/ac" ns1:Ignorable="x14ac xr xr2 xr3" ns2:uid="{00000000-0001-0000-0200-000000000000}">
  <ns0:sheetPr codeName="Planilha3"/>
  <ns0:dimension ref="A1:G5"/>
  <ns0:sheetViews>
    <ns0:sheetView zoomScaleNormal="100" workbookViewId="0">
      <ns0:selection activeCell="C15" sqref="C15"/>
    </ns0:sheetView>
  </ns0:sheetViews>
  <ns0:sheetFormatPr defaultColWidth="8.7109375" defaultRowHeight="15" ns3:dyDescent="0.25"/>
  <ns0:cols>
    <ns0:col min="1" max="1" width="6" customWidth="1"/>
    <ns0:col min="2" max="2" width="18" customWidth="1"/>
    <ns0:col min="3" max="3" width="16" customWidth="1"/>
    <ns0:col min="4" max="4" width="40" customWidth="1"/>
    <ns0:col min="5" max="5" width="26" customWidth="1"/>
    <ns0:col min="6" max="6" width="20" customWidth="1"/>
    <ns0:col min="7" max="7" width="24" customWidth="1"/>
  </ns0:cols>
  <ns0:sheetData>
    <ns0:row r="1" spans="1:6" ht="16.5" ns3:dyDescent="0.25">
      <ns0:c r="A1" s="36" t="s">
        <ns0:v>43</ns0:v>
      </ns0:c>
    </ns0:row>
    <ns0:row r="2" spans="1:6" ns3:dyDescent="0.25">
      <ns0:c r="A2" s="50" t="s">
        <ns0:v>44</ns0:v>
      </ns0:c>
    </ns0:row>
    <ns0:row r="4" spans="1:6" ht="30" ns3:dyDescent="0.25">
      <ns0:c r="A4" s="37" t="s">
        <ns0:v>45</ns0:v>
      </ns0:c>
      <ns0:c r="B4" s="37" t="s">
        <ns0:v>46</ns0:v>
      </ns0:c>
      <ns0:c r="C4" s="37" t="s">
        <ns0:v>38</ns0:v>
      </ns0:c>
      <ns0:c r="D4" s="37" t="s">
        <ns0:v>35</ns0:v>
      </ns0:c>
      <ns0:c r="E4" s="37" t="s">
        <ns0:v>47</ns0:v>
      </ns0:c>
      <ns0:c r="F4" s="37" t="s">
        <ns0:v>48</ns0:v>
      </ns0:c>
      <ns0:c r="G4" s="37" t="s">
        <ns0:v>50</ns0:v>
      </ns0:c>
    </ns0:row>
    <ns0:row r="5" spans="1:6" ns3:dyDescent="0.25">
      <ns0:c r="A5">
        <ns0:v>1</ns0:v>
      </ns0:c>
      <ns0:c r="B5" s="47">
        <ns0:v>46283.617858796293</ns0:v>
      </ns0:c>
      <ns0:c r="C5" s="48">
        <ns0:v>0.2</ns0:v>
      </ns0:c>
      <ns0:c r="D5" t="s">
        <ns0:v>36</ns0:v>
      </ns0:c>
      <ns0:c r="E5">
        <ns0:v>228</ns0:v>
      </ns0:c>
      <ns0:c r="F5" s="49">
        <ns0:v>45191.999999999993</ns0:v>
      </ns0:c>
    </ns0:row>
  </ns0:sheetData>
  <ns0:pageMargins left="0.75" right="0.75" top="1" bottom="1" header="0.511811023622047" footer="0.511811023622047"/>
  <ns0:pageSetup paperSize="9" orientation="portrait" horizontalDpi="300" verticalDpi="300"/>
</ns0: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Érica Siqueira</cp:lastModifiedBy>
  <cp:revision>0</cp:revision>
  <dcterms:created xsi:type="dcterms:W3CDTF">2026-08-19T11:20:05Z</dcterms:created>
  <dcterms:modified xsi:type="dcterms:W3CDTF">2026-09-18T17:52:50Z</dcterms:modified>
  <dc:language>en-US</dc:language>
</cp:coreProperties>
</file>