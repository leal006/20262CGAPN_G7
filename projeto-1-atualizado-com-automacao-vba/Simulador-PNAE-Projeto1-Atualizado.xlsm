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Dropbox\FGV\Disciplinas\2026\2026_02\Dados para PP\Aulas\"/>
    </mc:Choice>
  </mc:AlternateContent>
  <xr:revisionPtr revIDLastSave="0" documentId="13_ncr:1_{91F3C2C2-F753-4BF5-A1A1-4F63C611AEED}" xr6:coauthVersionLast="47" xr6:coauthVersionMax="47" xr10:uidLastSave="{00000000-0000-0000-0000-000000000000}"/>
  <bookViews>
    <workbookView xWindow="-120" yWindow="-120" windowWidth="29040" windowHeight="16440" tabRatio="500" xr2:uid="{00000000-000D-0000-FFFF-FFFF00000000}"/>
  </bookViews>
  <sheets>
    <sheet name="Parametros_PNAE" sheetId="1" r:id="rId1"/>
    <sheet name="Simulador_Escola" sheetId="2" r:id="rId2"/>
    <sheet name="Banco_de_Dados" sheetId="3" r:id="rId3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35" i="2" l="1"/>
  <c r="C34" i="2"/>
  <c r="D33" i="2"/>
  <c r="C33" i="2"/>
  <c r="C32" i="2"/>
  <c r="C31" i="2"/>
  <c r="C30" i="2"/>
  <c r="D29" i="2"/>
  <c r="C29" i="2"/>
  <c r="C28" i="2"/>
  <c r="B20" i="2"/>
  <c r="B17" i="2"/>
  <c r="B19" i="2" s="1"/>
  <c r="C23" i="2" s="1"/>
  <c r="C16" i="2"/>
  <c r="D34" i="2" s="1"/>
  <c r="C15" i="2"/>
  <c r="C14" i="2"/>
  <c r="D32" i="2" s="1"/>
  <c r="C13" i="2"/>
  <c r="D31" i="2" s="1"/>
  <c r="C12" i="2"/>
  <c r="D30" i="2" s="1"/>
  <c r="C11" i="2"/>
  <c r="B21" i="2" s="1"/>
  <c r="C10" i="2"/>
  <c r="D28" i="2" s="1"/>
  <c r="C35" i="2" l="1"/>
  <c r="B39" i="2" s="1"/>
  <c r="D35" i="2"/>
  <c r="C39" i="2" s="1"/>
</calcChain>
</file>

<file path=xl/sharedStrings.xml><?xml version="1.0" encoding="utf-8"?>
<sst xmlns="http://schemas.openxmlformats.org/spreadsheetml/2006/main" count="73" uniqueCount="51">
  <si>
    <t>Parâmetros do PNAE — 2026</t>
  </si>
  <si>
    <t>Fonte: Resolução CD/FNDE nº 1, de 18 de fevereiro de 2026 (altera a Resolução CD/FNDE nº 6/2020). Reajuste médio de 14,35% em relação a 2025. Valores em vigor desde a primeira parcela de 2026.</t>
  </si>
  <si>
    <t>Modalidade</t>
  </si>
  <si>
    <t>Valor per capita (R$/dia)</t>
  </si>
  <si>
    <t>Creche</t>
  </si>
  <si>
    <t>Pré-escola</t>
  </si>
  <si>
    <t>Fundamental</t>
  </si>
  <si>
    <t>Médio</t>
  </si>
  <si>
    <t>EJA</t>
  </si>
  <si>
    <t>Indígena/Quilombola</t>
  </si>
  <si>
    <t>AEE (contraturno)</t>
  </si>
  <si>
    <t>Dias letivos (ano)</t>
  </si>
  <si>
    <t>Faixas de Porte da Escola (classificação didática)</t>
  </si>
  <si>
    <t>Matrículas (mínimo)</t>
  </si>
  <si>
    <t>Porte</t>
  </si>
  <si>
    <t>Pequena</t>
  </si>
  <si>
    <t>Média</t>
  </si>
  <si>
    <t>Grande</t>
  </si>
  <si>
    <t>Faixas criadas para fins didáticos deste curso</t>
  </si>
  <si>
    <t>Projeto 1 — Simulador de Repasse do PNAE</t>
  </si>
  <si>
    <t>Escola e matrículas fictícias, criadas para fins didáticos. Valores per capita, dias letivos e a regra de cálculo do repasse são reais (Resolução CD/FNDE nº 1/2026). O bairro é real, no município de Osasco/SP.</t>
  </si>
  <si>
    <t>Nome da Escola (fictício)</t>
  </si>
  <si>
    <t>EMEB Vila Quitaúna</t>
  </si>
  <si>
    <t>Bairro</t>
  </si>
  <si>
    <t>Quitaúna</t>
  </si>
  <si>
    <t>Município</t>
  </si>
  <si>
    <t>Osasco/SP</t>
  </si>
  <si>
    <t>Matrículas por modalidade (ano letivo projetado)</t>
  </si>
  <si>
    <t>Matrículas</t>
  </si>
  <si>
    <t>Total de Matrículas</t>
  </si>
  <si>
    <t>Porte da Escola</t>
  </si>
  <si>
    <t>Dias letivos</t>
  </si>
  <si>
    <t>Repasse Anual Estimado (R$)</t>
  </si>
  <si>
    <t>Elegibilidade para complementação municipal (regra de exercício)</t>
  </si>
  <si>
    <t>Regra criada apenas para praticar SE aninhado e E/OU; não reproduz nenhum critério oficial de complementação.</t>
  </si>
  <si>
    <t>Racional da Taxa</t>
  </si>
  <si>
    <t>Explique aqui o motivo do fator de ajuste escolhido</t>
  </si>
  <si>
    <t>Modelo para Simulação</t>
  </si>
  <si>
    <t>Fator de Ajuste</t>
  </si>
  <si>
    <t>Matriculadas Ajustadas</t>
  </si>
  <si>
    <t>Total de Matrículas e Repasse</t>
  </si>
  <si>
    <t>TABELA DE DADOS -&gt; Selecionar de A39 até C48 -&gt; Dados/Teste de Hipótese/Tabela de Dados -&gt; Linha não preencher e Coluna informar C26</t>
  </si>
  <si>
    <t>Fator de Variação</t>
  </si>
  <si>
    <t>Banco de Dados de Simulações — Projeto 1 (PNAE)</t>
  </si>
  <si>
    <t>Cada linha abaixo é gravada automaticamente pela macro RegistrarSimulacao ao clicar no botão da aba Simulador_Escola.</t>
  </si>
  <si>
    <t>ID</t>
  </si>
  <si>
    <t>Data/Hora</t>
  </si>
  <si>
    <t>Total de Matrículas Ajustadas</t>
  </si>
  <si>
    <t>Repasse Ajustado (R$)</t>
  </si>
  <si>
    <t>Usuário da Simulação</t>
  </si>
  <si>
    <t>Usuário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</si>
</sst>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R$ &quot;#,##0.00"/>
    <numFmt numFmtId="165" formatCode="dd/mm/yyyy\ hh:mm"/>
    <numFmt numFmtId="166" formatCode="0.0%"/>
    <numFmt numFmtId="167" formatCode="\R&quot;R$&quot;\ #,##0.00"/>
  </numFmts>
  <fonts count="16" x14ac:knownFonts="1">
    <font>
      <sz val="11"/>
      <color theme="1"/>
      <name val="Calibri"/>
      <family val="2"/>
      <charset val="1"/>
    </font>
    <font>
      <b/>
      <sz val="14"/>
      <name val="Arial"/>
      <family val="2"/>
      <charset val="1"/>
    </font>
    <font>
      <sz val="9"/>
      <color theme="1"/>
      <name val="Arial"/>
      <family val="2"/>
      <charset val="1"/>
    </font>
    <font>
      <b/>
      <sz val="10"/>
      <color theme="1"/>
      <name val="Arial"/>
      <family val="2"/>
      <charset val="1"/>
    </font>
    <font>
      <sz val="10"/>
      <color theme="1"/>
      <name val="Arial"/>
      <family val="2"/>
      <charset val="1"/>
    </font>
    <font>
      <b/>
      <sz val="10"/>
      <color rgb="FF333333"/>
      <name val="Arial"/>
      <family val="2"/>
      <charset val="1"/>
    </font>
    <font>
      <sz val="10"/>
      <color rgb="FF0000FF"/>
      <name val="Arial"/>
      <family val="2"/>
      <charset val="1"/>
    </font>
    <font>
      <b/>
      <sz val="14"/>
      <color theme="1"/>
      <name val="Arial"/>
      <family val="2"/>
      <charset val="1"/>
    </font>
    <font>
      <sz val="10"/>
      <color rgb="FF000000"/>
      <name val="Arial"/>
      <family val="2"/>
      <charset val="1"/>
    </font>
    <font>
      <b/>
      <sz val="11"/>
      <color rgb="FF333333"/>
      <name val="Arial"/>
      <family val="2"/>
      <charset val="1"/>
    </font>
    <font>
      <b/>
      <sz val="11"/>
      <name val="Arial"/>
      <family val="2"/>
    </font>
    <font>
      <i/>
      <sz val="11"/>
      <color rgb="FF000000"/>
      <name val="Arial"/>
      <family val="2"/>
    </font>
    <font>
      <b/>
      <sz val="11"/>
      <color theme="1"/>
      <name val="Calibri"/>
      <family val="2"/>
      <charset val="1"/>
    </font>
    <font>
      <b/>
      <sz val="13"/>
      <name val="Arial"/>
      <family val="2"/>
    </font>
    <font>
      <b/>
      <sz val="11"/>
      <color rgb="FFFFFFFF"/>
      <name val="Arial"/>
      <family val="2"/>
    </font>
    <font>
      <sz val="9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2" tint="-9.9978637043366805E-2"/>
        <bgColor rgb="FFEEECE1"/>
      </patternFill>
    </fill>
    <fill>
      <patternFill patternType="solid">
        <fgColor rgb="FFFFFF00"/>
        <bgColor rgb="FFFFFF00"/>
      </patternFill>
    </fill>
    <fill>
      <patternFill patternType="solid">
        <fgColor rgb="FFF2F2F2"/>
        <bgColor rgb="FFEEECE1"/>
      </patternFill>
    </fill>
    <fill>
      <patternFill patternType="solid">
        <fgColor rgb="FFFFFF99"/>
        <bgColor rgb="FFEEECE1"/>
      </patternFill>
    </fill>
    <fill>
      <patternFill patternType="solid">
        <fgColor rgb="FF92D050"/>
        <bgColor rgb="FFC4BD97"/>
      </patternFill>
    </fill>
    <fill>
      <patternFill patternType="solid">
        <fgColor theme="2" tint="-0.249977111117893"/>
        <bgColor rgb="FFBFBFBF"/>
      </patternFill>
    </fill>
    <fill>
      <patternFill patternType="solid">
        <fgColor theme="2"/>
        <bgColor rgb="FFF2F2F2"/>
      </patternFill>
    </fill>
    <fill>
      <patternFill patternType="solid">
        <fgColor rgb="FF1F3864"/>
        <bgColor rgb="FF333333"/>
      </patternFill>
    </fill>
  </fills>
  <borders count="9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/>
      <right/>
      <top/>
      <bottom style="thin">
        <color auto="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3" fillId="2" borderId="1" xfId="0" applyFont="1" applyFill="1" applyBorder="1" applyAlignment="1">
      <alignment horizontal="center" vertical="center" wrapText="1"/>
    </xf>
    <xf numFmtId="0" fontId="4" fillId="0" borderId="1" xfId="0" applyFont="1" applyBorder="1"/>
    <xf numFmtId="4" fontId="4" fillId="0" borderId="1" xfId="0" applyNumberFormat="1" applyFont="1" applyBorder="1" applyAlignment="1">
      <alignment horizontal="center"/>
    </xf>
    <xf numFmtId="0" fontId="5" fillId="0" borderId="1" xfId="0" applyFont="1" applyBorder="1"/>
    <xf numFmtId="0" fontId="6" fillId="3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3" borderId="1" xfId="0" applyFont="1" applyFill="1" applyBorder="1"/>
    <xf numFmtId="0" fontId="4" fillId="3" borderId="1" xfId="0" applyFont="1" applyFill="1" applyBorder="1" applyAlignment="1">
      <alignment horizontal="center"/>
    </xf>
    <xf numFmtId="4" fontId="8" fillId="0" borderId="1" xfId="0" applyNumberFormat="1" applyFont="1" applyBorder="1" applyAlignment="1">
      <alignment horizontal="center"/>
    </xf>
    <xf numFmtId="0" fontId="5" fillId="4" borderId="1" xfId="0" applyFont="1" applyFill="1" applyBorder="1"/>
    <xf numFmtId="0" fontId="8" fillId="4" borderId="1" xfId="0" applyFont="1" applyFill="1" applyBorder="1" applyAlignment="1">
      <alignment horizontal="center"/>
    </xf>
    <xf numFmtId="0" fontId="0" fillId="4" borderId="1" xfId="0" applyFill="1" applyBorder="1"/>
    <xf numFmtId="0" fontId="8" fillId="0" borderId="1" xfId="0" applyFont="1" applyBorder="1" applyAlignment="1">
      <alignment horizontal="center"/>
    </xf>
    <xf numFmtId="4" fontId="9" fillId="0" borderId="1" xfId="0" applyNumberFormat="1" applyFont="1" applyBorder="1" applyAlignment="1">
      <alignment horizontal="center"/>
    </xf>
    <xf numFmtId="0" fontId="8" fillId="0" borderId="1" xfId="0" applyFont="1" applyBorder="1" applyAlignment="1">
      <alignment horizontal="center" wrapText="1"/>
    </xf>
    <xf numFmtId="0" fontId="10" fillId="0" borderId="0" xfId="0" applyFont="1"/>
    <xf numFmtId="0" fontId="12" fillId="0" borderId="0" xfId="0" applyFont="1"/>
    <xf numFmtId="0" fontId="12" fillId="0" borderId="0" xfId="0" applyFont="1" applyAlignment="1">
      <alignment horizontal="right"/>
    </xf>
    <xf numFmtId="9" fontId="0" fillId="0" borderId="3" xfId="0" applyNumberFormat="1" applyBorder="1" applyAlignment="1">
      <alignment horizontal="center"/>
    </xf>
    <xf numFmtId="0" fontId="3" fillId="2" borderId="4" xfId="0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4" fillId="0" borderId="4" xfId="0" applyFont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164" fontId="8" fillId="0" borderId="4" xfId="0" applyNumberFormat="1" applyFont="1" applyBorder="1" applyAlignment="1">
      <alignment horizontal="center"/>
    </xf>
    <xf numFmtId="0" fontId="5" fillId="4" borderId="6" xfId="0" applyFont="1" applyFill="1" applyBorder="1" applyAlignment="1">
      <alignment horizontal="center"/>
    </xf>
    <xf numFmtId="0" fontId="8" fillId="4" borderId="6" xfId="0" applyFont="1" applyFill="1" applyBorder="1" applyAlignment="1">
      <alignment horizontal="center"/>
    </xf>
    <xf numFmtId="164" fontId="0" fillId="6" borderId="0" xfId="0" applyNumberFormat="1" applyFill="1" applyAlignment="1">
      <alignment horizontal="center"/>
    </xf>
    <xf numFmtId="0" fontId="0" fillId="7" borderId="4" xfId="0" applyFill="1" applyBorder="1" applyAlignment="1">
      <alignment horizontal="center"/>
    </xf>
    <xf numFmtId="164" fontId="0" fillId="7" borderId="4" xfId="0" applyNumberFormat="1" applyFill="1" applyBorder="1" applyAlignment="1">
      <alignment horizontal="center"/>
    </xf>
    <xf numFmtId="9" fontId="4" fillId="0" borderId="4" xfId="0" applyNumberFormat="1" applyFon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9" fontId="4" fillId="8" borderId="4" xfId="0" applyNumberFormat="1" applyFont="1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164" fontId="0" fillId="8" borderId="4" xfId="0" applyNumberFormat="1" applyFill="1" applyBorder="1" applyAlignment="1">
      <alignment horizontal="center"/>
    </xf>
    <xf numFmtId="0" fontId="13" fillId="0" borderId="0" xfId="0" applyFont="1"/>
    <xf numFmtId="0" fontId="14" fillId="9" borderId="8" xfId="0" applyFont="1" applyFill="1" applyBorder="1" applyAlignment="1">
      <alignment horizontal="center" vertical="center" wrapText="1"/>
    </xf>
    <xf numFmtId="0" fontId="1" fillId="2" borderId="0" xfId="0" applyFont="1" applyFill="1" applyAlignment="1">
      <alignment horizontal="left" vertical="center" indent="1"/>
    </xf>
    <xf numFmtId="0" fontId="2" fillId="0" borderId="0" xfId="0" applyFont="1" applyAlignment="1">
      <alignment vertical="top" wrapText="1"/>
    </xf>
    <xf numFmtId="0" fontId="5" fillId="0" borderId="0" xfId="0" applyFont="1"/>
    <xf numFmtId="0" fontId="2" fillId="0" borderId="0" xfId="0" applyFont="1"/>
    <xf numFmtId="0" fontId="11" fillId="5" borderId="2" xfId="0" applyFont="1" applyFill="1" applyBorder="1" applyAlignment="1">
      <alignment horizontal="left" vertical="center" wrapText="1"/>
    </xf>
    <xf numFmtId="0" fontId="4" fillId="0" borderId="7" xfId="0" applyFont="1" applyBorder="1" applyAlignment="1">
      <alignment horizontal="left" vertical="top" wrapText="1"/>
    </xf>
    <xf numFmtId="0" fontId="7" fillId="2" borderId="0" xfId="0" applyFont="1" applyFill="1" applyAlignment="1">
      <alignment horizontal="left" vertical="center" indent="1"/>
    </xf>
    <xf numFmtId="0" fontId="5" fillId="0" borderId="1" xfId="0" applyFont="1" applyBorder="1" applyAlignment="1">
      <alignment wrapText="1"/>
    </xf>
    <xf numFmtId="0" fontId="2" fillId="0" borderId="0" xfId="0" applyFont="1" applyAlignment="1">
      <alignment wrapText="1"/>
    </xf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1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2F2F2"/>
      <rgbColor rgb="FFCCFFFF"/>
      <rgbColor rgb="FF660066"/>
      <rgbColor rgb="FFFF8080"/>
      <rgbColor rgb="FF0066CC"/>
      <rgbColor rgb="FFDDD9C3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EECE1"/>
      <rgbColor rgb="FFFFFF99"/>
      <rgbColor rgb="FF99CCFF"/>
      <rgbColor rgb="FFFF99CC"/>
      <rgbColor rgb="FFCC99FF"/>
      <rgbColor rgb="FFC4BD97"/>
      <rgbColor rgb="FF3366FF"/>
      <rgbColor rgb="FF33CCCC"/>
      <rgbColor rgb="FF92D050"/>
      <rgbColor rgb="FFFFCC00"/>
      <rgbColor rgb="FFFF9900"/>
      <rgbColor rgb="FFFF6600"/>
      <rgbColor rgb="FF6E6E6E"/>
      <rgbColor rgb="FF969696"/>
      <rgbColor rgb="FF1F3864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304800</xdr:colOff>
      <xdr:row>23</xdr:row>
      <xdr:rowOff>314325</xdr:rowOff>
    </xdr:from>
    <xdr:to>
      <xdr:col>5</xdr:col>
      <xdr:colOff>781050</xdr:colOff>
      <xdr:row>24</xdr:row>
      <xdr:rowOff>685800</xdr:rowOff>
    </xdr:to>
    <xdr:sp macro="[0]!RegistrarSimulaca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EC260AF-1BB5-CA1E-3CBD-026FA8E6B661}"/>
            </a:ext>
          </a:extLst>
        </xdr:cNvPr>
        <xdr:cNvSpPr/>
      </xdr:nvSpPr>
      <xdr:spPr>
        <a:xfrm>
          <a:off x="5800725" y="5524500"/>
          <a:ext cx="1543050" cy="695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Salvar Simulação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20"/>
  <sheetViews>
    <sheetView showGridLines="0" tabSelected="1" zoomScaleNormal="100" workbookViewId="0">
      <selection activeCell="A23" sqref="A23"/>
    </sheetView>
  </sheetViews>
  <sheetFormatPr defaultColWidth="8.7109375" defaultRowHeight="15" x14ac:dyDescent="0.25"/>
  <cols>
    <col min="1" max="1" width="26" customWidth="1"/>
    <col min="2" max="2" width="20" customWidth="1"/>
    <col min="3" max="3" width="4" customWidth="1"/>
  </cols>
  <sheetData>
    <row r="1" spans="1:2" ht="25.5" customHeight="1" x14ac:dyDescent="0.25">
      <c r="A1" s="38" t="s">
        <v>0</v>
      </c>
      <c r="B1" s="38"/>
    </row>
    <row r="2" spans="1:2" ht="62.25" customHeight="1" x14ac:dyDescent="0.25">
      <c r="A2" s="39" t="s">
        <v>1</v>
      </c>
      <c r="B2" s="39"/>
    </row>
    <row r="4" spans="1:2" ht="27.75" customHeight="1" x14ac:dyDescent="0.25">
      <c r="A4" s="1" t="s">
        <v>2</v>
      </c>
      <c r="B4" s="1" t="s">
        <v>3</v>
      </c>
    </row>
    <row r="5" spans="1:2" x14ac:dyDescent="0.25">
      <c r="A5" s="2" t="s">
        <v>4</v>
      </c>
      <c r="B5" s="3">
        <v>1.57</v>
      </c>
    </row>
    <row r="6" spans="1:2" x14ac:dyDescent="0.25">
      <c r="A6" s="2" t="s">
        <v>5</v>
      </c>
      <c r="B6" s="3">
        <v>0.82</v>
      </c>
    </row>
    <row r="7" spans="1:2" x14ac:dyDescent="0.25">
      <c r="A7" s="2" t="s">
        <v>6</v>
      </c>
      <c r="B7" s="3">
        <v>0.56999999999999995</v>
      </c>
    </row>
    <row r="8" spans="1:2" x14ac:dyDescent="0.25">
      <c r="A8" s="2" t="s">
        <v>7</v>
      </c>
      <c r="B8" s="3">
        <v>0.56999999999999995</v>
      </c>
    </row>
    <row r="9" spans="1:2" x14ac:dyDescent="0.25">
      <c r="A9" s="2" t="s">
        <v>8</v>
      </c>
      <c r="B9" s="3">
        <v>0.56999999999999995</v>
      </c>
    </row>
    <row r="10" spans="1:2" x14ac:dyDescent="0.25">
      <c r="A10" s="2" t="s">
        <v>9</v>
      </c>
      <c r="B10" s="3">
        <v>0.98</v>
      </c>
    </row>
    <row r="11" spans="1:2" x14ac:dyDescent="0.25">
      <c r="A11" s="2" t="s">
        <v>10</v>
      </c>
      <c r="B11" s="3">
        <v>0.78</v>
      </c>
    </row>
    <row r="13" spans="1:2" x14ac:dyDescent="0.25">
      <c r="A13" s="4" t="s">
        <v>11</v>
      </c>
      <c r="B13" s="5">
        <v>200</v>
      </c>
    </row>
    <row r="15" spans="1:2" x14ac:dyDescent="0.25">
      <c r="A15" s="40" t="s">
        <v>12</v>
      </c>
      <c r="B15" s="40"/>
    </row>
    <row r="16" spans="1:2" x14ac:dyDescent="0.25">
      <c r="A16" s="1" t="s">
        <v>13</v>
      </c>
      <c r="B16" s="1" t="s">
        <v>14</v>
      </c>
    </row>
    <row r="17" spans="1:2" x14ac:dyDescent="0.25">
      <c r="A17" s="6">
        <v>0</v>
      </c>
      <c r="B17" s="6" t="s">
        <v>15</v>
      </c>
    </row>
    <row r="18" spans="1:2" x14ac:dyDescent="0.25">
      <c r="A18" s="6">
        <v>201</v>
      </c>
      <c r="B18" s="6" t="s">
        <v>16</v>
      </c>
    </row>
    <row r="19" spans="1:2" x14ac:dyDescent="0.25">
      <c r="A19" s="6">
        <v>401</v>
      </c>
      <c r="B19" s="6" t="s">
        <v>17</v>
      </c>
    </row>
    <row r="20" spans="1:2" x14ac:dyDescent="0.25">
      <c r="A20" s="41" t="s">
        <v>18</v>
      </c>
      <c r="B20" s="41"/>
    </row>
  </sheetData>
  <mergeCells count="4">
    <mergeCell ref="A1:B1"/>
    <mergeCell ref="A2:B2"/>
    <mergeCell ref="A15:B15"/>
    <mergeCell ref="A20:B20"/>
  </mergeCells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D48"/>
  <sheetViews>
    <sheetView showGridLines="0" topLeftCell="A9" zoomScaleNormal="100" workbookViewId="0">
      <selection activeCell="F31" sqref="F31"/>
    </sheetView>
  </sheetViews>
  <sheetFormatPr defaultColWidth="8.7109375" defaultRowHeight="15" x14ac:dyDescent="0.25"/>
  <cols>
    <col min="1" max="1" width="30" customWidth="1"/>
    <col min="2" max="2" width="18.42578125" customWidth="1"/>
    <col min="3" max="3" width="18.28515625" customWidth="1"/>
    <col min="4" max="4" width="15.7109375" customWidth="1"/>
    <col min="5" max="5" width="16" customWidth="1"/>
    <col min="6" max="6" width="20" customWidth="1"/>
    <col min="7" max="7" width="22" customWidth="1"/>
    <col min="8" max="8" width="10" customWidth="1"/>
    <col min="9" max="9" width="11.7109375" customWidth="1"/>
  </cols>
  <sheetData>
    <row r="1" spans="1:3" ht="25.5" customHeight="1" x14ac:dyDescent="0.25">
      <c r="A1" s="44" t="s">
        <v>19</v>
      </c>
      <c r="B1" s="44"/>
      <c r="C1" s="44"/>
    </row>
    <row r="2" spans="1:3" ht="39.75" customHeight="1" x14ac:dyDescent="0.25">
      <c r="A2" s="39" t="s">
        <v>20</v>
      </c>
      <c r="B2" s="39"/>
      <c r="C2" s="39"/>
    </row>
    <row r="4" spans="1:3" x14ac:dyDescent="0.25">
      <c r="A4" s="4" t="s">
        <v>21</v>
      </c>
      <c r="B4" s="7" t="s">
        <v>22</v>
      </c>
    </row>
    <row r="5" spans="1:3" x14ac:dyDescent="0.25">
      <c r="A5" s="4" t="s">
        <v>23</v>
      </c>
      <c r="B5" s="7" t="s">
        <v>24</v>
      </c>
    </row>
    <row r="6" spans="1:3" x14ac:dyDescent="0.25">
      <c r="A6" s="4" t="s">
        <v>25</v>
      </c>
      <c r="B6" s="7" t="s">
        <v>26</v>
      </c>
    </row>
    <row r="8" spans="1:3" x14ac:dyDescent="0.25">
      <c r="A8" s="40" t="s">
        <v>27</v>
      </c>
      <c r="B8" s="40"/>
      <c r="C8" s="40"/>
    </row>
    <row r="9" spans="1:3" ht="30" customHeight="1" x14ac:dyDescent="0.25">
      <c r="A9" s="1" t="s">
        <v>2</v>
      </c>
      <c r="B9" s="1" t="s">
        <v>28</v>
      </c>
      <c r="C9" s="1" t="s">
        <v>3</v>
      </c>
    </row>
    <row r="10" spans="1:3" x14ac:dyDescent="0.25">
      <c r="A10" s="2" t="s">
        <v>4</v>
      </c>
      <c r="B10" s="8">
        <v>60</v>
      </c>
      <c r="C10" s="9">
        <f>VLOOKUP(A10,Parametros_PNAE!$A$5:$B$11,2,FALSE())</f>
        <v>1.57</v>
      </c>
    </row>
    <row r="11" spans="1:3" x14ac:dyDescent="0.25">
      <c r="A11" s="2" t="s">
        <v>5</v>
      </c>
      <c r="B11" s="8">
        <v>80</v>
      </c>
      <c r="C11" s="9">
        <f>VLOOKUP(A11,Parametros_PNAE!$A$5:$B$11,2,FALSE())</f>
        <v>0.82</v>
      </c>
    </row>
    <row r="12" spans="1:3" x14ac:dyDescent="0.25">
      <c r="A12" s="2" t="s">
        <v>6</v>
      </c>
      <c r="B12" s="8">
        <v>50</v>
      </c>
      <c r="C12" s="9">
        <f>VLOOKUP(A12,Parametros_PNAE!$A$5:$B$11,2,FALSE())</f>
        <v>0.56999999999999995</v>
      </c>
    </row>
    <row r="13" spans="1:3" x14ac:dyDescent="0.25">
      <c r="A13" s="2" t="s">
        <v>7</v>
      </c>
      <c r="B13" s="8">
        <v>0</v>
      </c>
      <c r="C13" s="9">
        <f>VLOOKUP(A13,Parametros_PNAE!$A$5:$B$11,2,FALSE())</f>
        <v>0.56999999999999995</v>
      </c>
    </row>
    <row r="14" spans="1:3" x14ac:dyDescent="0.25">
      <c r="A14" s="2" t="s">
        <v>8</v>
      </c>
      <c r="B14" s="8">
        <v>0</v>
      </c>
      <c r="C14" s="9">
        <f>VLOOKUP(A14,Parametros_PNAE!$A$5:$B$11,2,FALSE())</f>
        <v>0.56999999999999995</v>
      </c>
    </row>
    <row r="15" spans="1:3" x14ac:dyDescent="0.25">
      <c r="A15" s="2" t="s">
        <v>9</v>
      </c>
      <c r="B15" s="8">
        <v>0</v>
      </c>
      <c r="C15" s="9">
        <f>VLOOKUP(A15,Parametros_PNAE!$A$5:$B$11,2,FALSE())</f>
        <v>0.98</v>
      </c>
    </row>
    <row r="16" spans="1:3" x14ac:dyDescent="0.25">
      <c r="A16" s="2" t="s">
        <v>10</v>
      </c>
      <c r="B16" s="8">
        <v>0</v>
      </c>
      <c r="C16" s="9">
        <f>VLOOKUP(A16,Parametros_PNAE!$A$5:$B$11,2,FALSE())</f>
        <v>0.78</v>
      </c>
    </row>
    <row r="17" spans="1:4" x14ac:dyDescent="0.25">
      <c r="A17" s="10" t="s">
        <v>29</v>
      </c>
      <c r="B17" s="11">
        <f>SUM(B10:B16)</f>
        <v>190</v>
      </c>
      <c r="C17" s="12"/>
    </row>
    <row r="19" spans="1:4" x14ac:dyDescent="0.25">
      <c r="A19" s="4" t="s">
        <v>30</v>
      </c>
      <c r="B19" s="13" t="str">
        <f>VLOOKUP(B17,Parametros_PNAE!$A$17:$B$19,2,TRUE())</f>
        <v>Pequena</v>
      </c>
      <c r="C19" s="12"/>
    </row>
    <row r="20" spans="1:4" x14ac:dyDescent="0.25">
      <c r="A20" s="4" t="s">
        <v>31</v>
      </c>
      <c r="B20" s="13">
        <f>Parametros_PNAE!$B$13</f>
        <v>200</v>
      </c>
      <c r="C20" s="12"/>
    </row>
    <row r="21" spans="1:4" x14ac:dyDescent="0.25">
      <c r="A21" s="4" t="s">
        <v>32</v>
      </c>
      <c r="B21" s="14">
        <f>SUMPRODUCT(B10:B16,C10:C16)*B20</f>
        <v>37660</v>
      </c>
      <c r="C21" s="12"/>
    </row>
    <row r="22" spans="2:4" x14ac:dyDescent="0.25">
      <c r="B22" s="16" t="s">
        <v>49</v>
      </c>
      <c r="C22" s="42"/>
    </row>
    <row r="23" spans="1:4" ht="30" customHeight="1" x14ac:dyDescent="0.25">
      <c r="A23" s="45" t="s">
        <v>33</v>
      </c>
      <c r="B23" s="45"/>
      <c r="C23" s="15" t="str">
        <f>IF(AND(B19="Pequena",OR(B10&gt;0,B11&gt;0)),"Sim (regra fictícia de exercício)","Não")</f>
        <v>Sim (regra fictícia de exercício)</v>
      </c>
    </row>
    <row r="24" spans="1:4" ht="25.5" customHeight="1" x14ac:dyDescent="0.25">
      <c r="A24" s="46" t="s">
        <v>34</v>
      </c>
      <c r="B24" s="46"/>
      <c r="C24" s="46"/>
    </row>
    <row r="25" spans="1:4" ht="57" customHeight="1" x14ac:dyDescent="0.25">
      <c r="B25" s="16" t="s">
        <v>35</v>
      </c>
      <c r="C25" s="42" t="s">
        <v>36</v>
      </c>
      <c r="D25" s="42"/>
    </row>
    <row r="26" spans="1:4" ht="15.75" customHeight="1" x14ac:dyDescent="0.25">
      <c r="A26" s="17" t="s">
        <v>37</v>
      </c>
      <c r="B26" s="18" t="s">
        <v>38</v>
      </c>
      <c r="C26" s="19">
        <v>0</v>
      </c>
    </row>
    <row r="27" spans="1:4" ht="25.5" customHeight="1" x14ac:dyDescent="0.25">
      <c r="A27" s="20" t="s">
        <v>2</v>
      </c>
      <c r="B27" s="20" t="s">
        <v>28</v>
      </c>
      <c r="C27" s="21" t="s">
        <v>39</v>
      </c>
      <c r="D27" s="20" t="s">
        <v>3</v>
      </c>
    </row>
    <row r="28" spans="1:4" x14ac:dyDescent="0.25">
      <c r="A28" s="22" t="s">
        <v>4</v>
      </c>
      <c r="B28" s="23">
        <v>60</v>
      </c>
      <c r="C28" s="24">
        <f t="shared" ref="C28:C34" si="0">B28*(1+$C$26)</f>
        <v>60</v>
      </c>
      <c r="D28" s="25">
        <f t="shared" ref="D28:D34" si="1">C10</f>
        <v>1.57</v>
      </c>
    </row>
    <row r="29" spans="1:4" x14ac:dyDescent="0.25">
      <c r="A29" s="22" t="s">
        <v>5</v>
      </c>
      <c r="B29" s="23">
        <v>80</v>
      </c>
      <c r="C29" s="24">
        <f t="shared" si="0"/>
        <v>80</v>
      </c>
      <c r="D29" s="25">
        <f t="shared" si="1"/>
        <v>0.82</v>
      </c>
    </row>
    <row r="30" spans="1:4" x14ac:dyDescent="0.25">
      <c r="A30" s="22" t="s">
        <v>6</v>
      </c>
      <c r="B30" s="23">
        <v>50</v>
      </c>
      <c r="C30" s="24">
        <f t="shared" si="0"/>
        <v>50</v>
      </c>
      <c r="D30" s="25">
        <f t="shared" si="1"/>
        <v>0.56999999999999995</v>
      </c>
    </row>
    <row r="31" spans="1:4" x14ac:dyDescent="0.25">
      <c r="A31" s="22" t="s">
        <v>7</v>
      </c>
      <c r="B31" s="23">
        <v>0</v>
      </c>
      <c r="C31" s="24">
        <f t="shared" si="0"/>
        <v>0</v>
      </c>
      <c r="D31" s="25">
        <f t="shared" si="1"/>
        <v>0.56999999999999995</v>
      </c>
    </row>
    <row r="32" spans="1:4" x14ac:dyDescent="0.25">
      <c r="A32" s="22" t="s">
        <v>8</v>
      </c>
      <c r="B32" s="23">
        <v>0</v>
      </c>
      <c r="C32" s="24">
        <f t="shared" si="0"/>
        <v>0</v>
      </c>
      <c r="D32" s="25">
        <f t="shared" si="1"/>
        <v>0.56999999999999995</v>
      </c>
    </row>
    <row r="33" spans="1:4" x14ac:dyDescent="0.25">
      <c r="A33" s="22" t="s">
        <v>9</v>
      </c>
      <c r="B33" s="23">
        <v>0</v>
      </c>
      <c r="C33" s="24">
        <f t="shared" si="0"/>
        <v>0</v>
      </c>
      <c r="D33" s="25">
        <f t="shared" si="1"/>
        <v>0.98</v>
      </c>
    </row>
    <row r="34" spans="1:4" x14ac:dyDescent="0.25">
      <c r="A34" s="22" t="s">
        <v>10</v>
      </c>
      <c r="B34" s="23">
        <v>0</v>
      </c>
      <c r="C34" s="24">
        <f t="shared" si="0"/>
        <v>0</v>
      </c>
      <c r="D34" s="25">
        <f t="shared" si="1"/>
        <v>0.78</v>
      </c>
    </row>
    <row r="35" spans="1:4" x14ac:dyDescent="0.25">
      <c r="A35" s="26" t="s">
        <v>40</v>
      </c>
      <c r="B35" s="27">
        <f>SUM(B28:B34)</f>
        <v>190</v>
      </c>
      <c r="C35" s="27">
        <f>SUM(C28:C34)</f>
        <v>190</v>
      </c>
      <c r="D35" s="28">
        <f>SUMPRODUCT(C28:C34,D28:D34)*B20</f>
        <v>37660</v>
      </c>
    </row>
    <row r="37" spans="1:4" ht="15" customHeight="1" x14ac:dyDescent="0.25">
      <c r="A37" s="43" t="s">
        <v>41</v>
      </c>
      <c r="B37" s="43"/>
      <c r="C37" s="43"/>
    </row>
    <row r="38" spans="1:4" x14ac:dyDescent="0.25">
      <c r="A38" s="43"/>
      <c r="B38" s="43"/>
      <c r="C38" s="43"/>
    </row>
    <row r="39" spans="1:4" x14ac:dyDescent="0.25">
      <c r="A39" s="20" t="s">
        <v>42</v>
      </c>
      <c r="B39" s="29">
        <f>C35</f>
        <v>190</v>
      </c>
      <c r="C39" s="30">
        <f>D35</f>
        <v>37660</v>
      </c>
    </row>
    <row r="40" spans="1:4" x14ac:dyDescent="0.25">
      <c r="A40" s="31">
        <v>-0.2</v>
      </c>
      <c r="B40" s="24">
        <v>152</v>
      </c>
      <c r="C40" s="32">
        <v>30128</v>
      </c>
    </row>
    <row r="41" spans="1:4" x14ac:dyDescent="0.25">
      <c r="A41" s="31">
        <v>-0.15</v>
      </c>
      <c r="B41" s="24">
        <v>161.5</v>
      </c>
      <c r="C41" s="32">
        <v>32011</v>
      </c>
    </row>
    <row r="42" spans="1:4" x14ac:dyDescent="0.25">
      <c r="A42" s="31">
        <v>-0.1</v>
      </c>
      <c r="B42" s="24">
        <v>171</v>
      </c>
      <c r="C42" s="32">
        <v>33894</v>
      </c>
    </row>
    <row r="43" spans="1:4" x14ac:dyDescent="0.25">
      <c r="A43" s="31">
        <v>-0.05</v>
      </c>
      <c r="B43" s="24">
        <v>180.5</v>
      </c>
      <c r="C43" s="32">
        <v>35777</v>
      </c>
    </row>
    <row r="44" spans="1:4" x14ac:dyDescent="0.25">
      <c r="A44" s="33">
        <v>0</v>
      </c>
      <c r="B44" s="34">
        <v>190</v>
      </c>
      <c r="C44" s="35">
        <v>37660</v>
      </c>
    </row>
    <row r="45" spans="1:4" x14ac:dyDescent="0.25">
      <c r="A45" s="31">
        <v>0.05</v>
      </c>
      <c r="B45" s="24">
        <v>199.5</v>
      </c>
      <c r="C45" s="32">
        <v>39543</v>
      </c>
    </row>
    <row r="46" spans="1:4" x14ac:dyDescent="0.25">
      <c r="A46" s="31">
        <v>0.1</v>
      </c>
      <c r="B46" s="24">
        <v>209</v>
      </c>
      <c r="C46" s="32">
        <v>41426</v>
      </c>
    </row>
    <row r="47" spans="1:4" x14ac:dyDescent="0.25">
      <c r="A47" s="31">
        <v>0.15</v>
      </c>
      <c r="B47" s="24">
        <v>218.5</v>
      </c>
      <c r="C47" s="32">
        <v>43309</v>
      </c>
    </row>
    <row r="48" spans="1:4" x14ac:dyDescent="0.25">
      <c r="A48" s="31">
        <v>0.2</v>
      </c>
      <c r="B48" s="24">
        <v>228</v>
      </c>
      <c r="C48" s="32">
        <v>45192</v>
      </c>
    </row>
  </sheetData>
  <mergeCells count="7">
    <mergeCell ref="C22:D22"/>
    <mergeCell ref="C25:D25"/>
    <mergeCell ref="A37:C38"/>
    <mergeCell ref="A1:C1"/>
    <mergeCell ref="A2:C2"/>
    <mergeCell ref="A8:C8"/>
    <mergeCell ref="A23:B23"/>
    <mergeCell ref="A24:C24"/>
  </mergeCell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G5"/>
  <sheetViews>
    <sheetView zoomScaleNormal="100" workbookViewId="0">
      <selection activeCell="C15" sqref="C15"/>
    </sheetView>
  </sheetViews>
  <sheetFormatPr defaultColWidth="8.7109375" defaultRowHeight="15" x14ac:dyDescent="0.25"/>
  <cols>
    <col min="1" max="1" width="6" customWidth="1"/>
    <col min="2" max="2" width="18" customWidth="1"/>
    <col min="3" max="3" width="16" customWidth="1"/>
    <col min="4" max="4" width="40" customWidth="1"/>
    <col min="5" max="5" width="26" customWidth="1"/>
    <col min="6" max="6" width="20" customWidth="1"/>
    <col min="7" max="7" width="24" customWidth="1"/>
  </cols>
  <sheetData>
    <row r="1" spans="1:6" ht="16.5" x14ac:dyDescent="0.25">
      <c r="A1" s="36" t="s">
        <v>43</v>
      </c>
    </row>
    <row r="2" spans="1:6" x14ac:dyDescent="0.25">
      <c r="A2" s="50" t="s">
        <v>44</v>
      </c>
    </row>
    <row r="4" spans="1:7" ht="30" x14ac:dyDescent="0.25">
      <c r="A4" s="37" t="s">
        <v>45</v>
      </c>
      <c r="B4" s="37" t="s">
        <v>46</v>
      </c>
      <c r="C4" s="37" t="s">
        <v>38</v>
      </c>
      <c r="D4" s="37" t="s">
        <v>35</v>
      </c>
      <c r="E4" s="37" t="s">
        <v>47</v>
      </c>
      <c r="F4" s="37" t="s">
        <v>48</v>
      </c>
      <c r="G4" s="37" t="s">
        <v>50</v>
      </c>
    </row>
    <row r="5" spans="1:6" x14ac:dyDescent="0.25">
      <c r="A5">
        <v>1</v>
      </c>
      <c r="B5" s="47">
        <v>46283.617858796293</v>
      </c>
      <c r="C5" s="48">
        <v>0.2</v>
      </c>
      <c r="D5" t="s">
        <v>36</v>
      </c>
      <c r="E5">
        <v>228</v>
      </c>
      <c r="F5" s="49">
        <v>45191.999999999993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Parametros_PNAE</vt:lpstr>
      <vt:lpstr>Simulador_Escola</vt:lpstr>
      <vt:lpstr>Banco_de_Dados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Érica Siqueira</cp:lastModifiedBy>
  <cp:revision>0</cp:revision>
  <dcterms:created xsi:type="dcterms:W3CDTF">2026-08-19T11:20:05Z</dcterms:created>
  <dcterms:modified xsi:type="dcterms:W3CDTF">2026-09-18T17:52:50Z</dcterms:modified>
  <dc:language>en-US</dc:language>
</cp:coreProperties>
</file>