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fael\Downloads\Trabalho 1\"/>
    </mc:Choice>
  </mc:AlternateContent>
  <xr:revisionPtr revIDLastSave="0" documentId="8_{0A10F48D-3C4F-4144-9AAA-FFB9AC1963B8}" xr6:coauthVersionLast="47" xr6:coauthVersionMax="47" xr10:uidLastSave="{00000000-0000-0000-0000-000000000000}"/>
  <bookViews>
    <workbookView xWindow="-120" yWindow="-120" windowWidth="20730" windowHeight="11310" tabRatio="500" activeTab="2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<sst xmlns="http://schemas.openxmlformats.org/spreadsheetml/2006/main" count="76" uniqueCount="55">
  <si>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</si>
  <si>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</si>
  <si>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</si>
  <si>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</si>
  <si>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</si>
  <si>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</si>
  <si>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</si>
  <si>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</si>
  <si>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</si>
  <si>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</si>
  <si>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</si>
  <si>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</si>
  <si>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</si>
  <si>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</si>
  <si>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</si>
  <si>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</si>
  <si>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</si>
  <si>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</si>
  <si>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</si>
  <si>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</si>
  <si>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</si>
  <si>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</si>
  <si>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</si>
  <si>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</si>
  <si>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</si>
  <si>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</si>
  <si>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</si>
  <si>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</si>
  <si>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</si>
  <si>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</si>
  <si>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</si>
  <si>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</si>
  <si>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</si>
  <si>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</si>
  <si>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</si>
  <si>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</si>
  <si>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</si>
  <si>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</si>
  <si>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</si>
  <si>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</si>
  <si>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</si>
  <si>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</si>
  <si>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</si>
  <si>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</si>
  <si>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</si>
  <si>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</si>
  <si>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</si>
  <si>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</si>
  <si>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</si>
  <si>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</si>
  <si>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 xml:space="preserve">Usuário </t>
  </si>
  <si>
    <t>Rafael Leal</t>
  </si>
  <si>
    <t>Teste: aumento de 10%</t>
  </si>
  <si>
    <t>José Antonio</t>
  </si>
  <si>
    <t>teste: redução de 5% nas matrículas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</si>
</sst>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7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  <font>
      <b/>
      <i/>
      <sz val="11"/>
      <color rgb="FF33333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 applyFill="1" applyBorder="1"/>
    <xf numFmtId="0" fontId="14" fillId="9" borderId="9" xfId="0" applyFont="1" applyFill="1" applyBorder="1" applyAlignment="1">
      <alignment horizontal="center" vertical="center" wrapText="1"/>
    </xf>
    <xf numFmtId="4" fontId="16" fillId="10" borderId="1" xfId="0" applyNumberFormat="1" applyFont="1" applyFill="1" applyBorder="1" applyAlignment="1">
      <alignment horizontal="center"/>
    </xf>
    <xf numFmtId="167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42" t="s">
        <v>0</v>
      </c>
      <c r="B1" s="42"/>
    </row>
    <row r="2" spans="1:2" ht="62.25" customHeight="1" x14ac:dyDescent="0.25">
      <c r="A2" s="43" t="s">
        <v>1</v>
      </c>
      <c r="B2" s="43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4" t="s">
        <v>12</v>
      </c>
      <c r="B15" s="44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48"/>
  <sheetViews>
    <sheetView showGridLines="0" topLeftCell="A15" zoomScaleNormal="100" workbookViewId="0">
      <selection activeCell="C27" sqref="C27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8" t="s">
        <v>19</v>
      </c>
      <c r="B1" s="48"/>
      <c r="C1" s="48"/>
    </row>
    <row r="2" spans="1:3" ht="39.75" customHeight="1" x14ac:dyDescent="0.25">
      <c r="A2" s="43" t="s">
        <v>20</v>
      </c>
      <c r="B2" s="43"/>
      <c r="C2" s="43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4" t="s">
        <v>27</v>
      </c>
      <c r="B8" s="44"/>
      <c r="C8" s="44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4" x14ac:dyDescent="0.25">
      <c r="A17" s="10" t="s">
        <v>29</v>
      </c>
      <c r="B17" s="11">
        <f>SUM(B10:B16)</f>
        <v>190</v>
      </c>
      <c r="C17" s="12"/>
    </row>
    <row r="19" spans="1:4" x14ac:dyDescent="0.25">
      <c r="A19" s="4" t="s">
        <v>30</v>
      </c>
      <c r="B19" s="13" t="str">
        <f>VLOOKUP(B17,Parametros_PNAE!$A$17:$B$19,2,TRUE())</f>
        <v>Pequena</v>
      </c>
      <c r="C19" s="12"/>
    </row>
    <row r="20" spans="1:4" x14ac:dyDescent="0.25">
      <c r="A20" s="4" t="s">
        <v>31</v>
      </c>
      <c r="B20" s="13">
        <f>Parametros_PNAE!$B$13</f>
        <v>200</v>
      </c>
      <c r="C20" s="12"/>
    </row>
    <row r="21" spans="1:4" x14ac:dyDescent="0.25">
      <c r="A21" s="4" t="s">
        <v>32</v>
      </c>
      <c r="B21" s="14">
        <f>SUMPRODUCT(B10:B16,C10:C16)*B20</f>
        <v>37660</v>
      </c>
      <c r="C21" s="12"/>
    </row>
    <row r="22" spans="1:4" x14ac:dyDescent="0.25">
      <c r="A22" s="51" t="s">
        <v>50</v>
      </c>
      <c r="B22" s="53"/>
      <c r="C22" s="12"/>
    </row>
    <row r="23" spans="1:4" ht="30" customHeight="1" x14ac:dyDescent="0.25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4" ht="25.5" customHeight="1" x14ac:dyDescent="0.25">
      <c r="A24" s="50" t="s">
        <v>34</v>
      </c>
      <c r="B24" s="50"/>
      <c r="C24" s="50"/>
    </row>
    <row r="25" spans="1:4" ht="57" customHeight="1" x14ac:dyDescent="0.25">
      <c r="B25" s="16" t="s">
        <v>35</v>
      </c>
      <c r="C25" s="46"/>
      <c r="D25" s="46"/>
    </row>
    <row r="26" spans="1:4" ht="15.75" customHeight="1" x14ac:dyDescent="0.25">
      <c r="A26" s="17" t="s">
        <v>37</v>
      </c>
      <c r="B26" s="18" t="s">
        <v>38</v>
      </c>
      <c r="C26" s="19">
        <v>0</v>
      </c>
    </row>
    <row r="27" spans="1:4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</row>
    <row r="28" spans="1:4" x14ac:dyDescent="0.2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4" x14ac:dyDescent="0.2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4" x14ac:dyDescent="0.2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4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4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5">
      <c r="A37" s="47" t="s">
        <v>41</v>
      </c>
      <c r="B37" s="47"/>
      <c r="C37" s="47"/>
    </row>
    <row r="38" spans="1:4" x14ac:dyDescent="0.25">
      <c r="A38" s="47"/>
      <c r="B38" s="47"/>
      <c r="C38" s="47"/>
    </row>
    <row r="39" spans="1:4" x14ac:dyDescent="0.25">
      <c r="A39" s="20" t="s">
        <v>42</v>
      </c>
      <c r="B39" s="29">
        <f>C35</f>
        <v>190</v>
      </c>
      <c r="C39" s="30">
        <f>D35</f>
        <v>37660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7"/>
  <sheetViews>
    <sheetView tabSelected="1" zoomScaleNormal="100" workbookViewId="0">
      <selection activeCell="H11" sqref="H11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7" customWidth="1"/>
    <col min="5" max="5" width="26" customWidth="1"/>
    <col min="6" max="6" width="20" customWidth="1"/>
    <col min="7" max="7" width="17.42578125" style="55" customWidth="1"/>
  </cols>
  <sheetData>
    <row r="1" spans="1:7" ht="16.5" x14ac:dyDescent="0.25">
      <c r="A1" s="36" t="s">
        <v>43</v>
      </c>
    </row>
    <row r="2" spans="1:7" x14ac:dyDescent="0.25">
      <c r="A2" s="41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52" t="s">
        <v>49</v>
      </c>
    </row>
    <row r="5" spans="1:7" x14ac:dyDescent="0.2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  <row r="6" spans="1:7" x14ac:dyDescent="0.25">
      <c r="A6">
        <v>2</v>
      </c>
      <c r="B6" s="54">
        <v>46299.512037037035</v>
      </c>
      <c r="C6" s="39">
        <v>0.1</v>
      </c>
      <c r="D6" t="s">
        <v>52</v>
      </c>
      <c r="E6">
        <v>209</v>
      </c>
      <c r="F6" s="40">
        <v>41426</v>
      </c>
      <c r="G6" s="55" t="s">
        <v>51</v>
      </c>
    </row>
    <row r="7" spans="1:7" x14ac:dyDescent="0.25">
      <c r="A7">
        <v>3</v>
      </c>
      <c r="B7" s="54">
        <v>46299.513715277775</v>
      </c>
      <c r="C7" s="39">
        <v>-0.05</v>
      </c>
      <c r="D7" t="s">
        <v>54</v>
      </c>
      <c r="E7">
        <v>180.5</v>
      </c>
      <c r="F7" s="40">
        <v>35777</v>
      </c>
      <c r="G7" s="55" t="s">
        <v>53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RAFAEL STEMPFER LEAL</cp:lastModifiedBy>
  <cp:revision>0</cp:revision>
  <dcterms:created xsi:type="dcterms:W3CDTF">2026-08-19T11:20:05Z</dcterms:created>
  <dcterms:modified xsi:type="dcterms:W3CDTF">2026-10-04T15:21:59Z</dcterms:modified>
  <dc:language>en-US</dc:language>
</cp:coreProperties>
</file>