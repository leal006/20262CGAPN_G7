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fael\Downloads\projeto-2-com-automacao-powerquery\"/>
    </mc:Choice>
  </mc:AlternateContent>
  <xr:revisionPtr revIDLastSave="0" documentId="13_ncr:1_{758BF03E-9221-4900-AE2A-B6F9073206C3}" xr6:coauthVersionLast="47" xr6:coauthVersionMax="47" xr10:uidLastSave="{00000000-0000-0000-0000-000000000000}"/>
  <bookViews>
    <workbookView xWindow="-120" yWindow="-120" windowWidth="20730" windowHeight="11310" tabRatio="1000" xr2:uid="{00000000-000D-0000-FFFF-FFFF00000000}"/>
  </bookViews>
  <sheets>
    <sheet name="Dashboard" sheetId="1" r:id="rId1"/>
    <sheet name="Tabelas_Dinâmicas" sheetId="5" r:id="rId2"/>
    <sheet name="Filtro_Municipio" sheetId="2" r:id="rId3"/>
    <sheet name="DadosTratados" sheetId="3" r:id="rId4"/>
    <sheet name="Infraestrutura" sheetId="4" r:id="rId5"/>
  </sheets>
  <definedNames>
    <definedName name="CensoCaminho">Filtro_Municipio!$B$5</definedName>
    <definedName name="DadosExternos_1" localSheetId="3" hidden="1">DadosTratados!$A$1:$BP$144</definedName>
    <definedName name="Município">Filtro_Municipio!$B$3</definedName>
    <definedName name="SegmentaçãodeDados_DEPENDENCIA">#N/A</definedName>
    <definedName name="SegmentaçãodeDados_LOCALIZACAO">#N/A</definedName>
    <definedName name="UF">Filtro_Municipio!$B$2</definedName>
  </definedNames>
  <calcPr calcId="191029" iterateDelta="1E-4"/>
  <pivotCaches>
    <pivotCache cacheId="4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11" i="4"/>
  <c r="K10" i="4"/>
  <c r="H10" i="4"/>
  <c r="B10" i="4"/>
  <c r="K9" i="4"/>
  <c r="H9" i="4"/>
  <c r="E9" i="4"/>
  <c r="B9" i="4"/>
  <c r="K8" i="4"/>
  <c r="H8" i="4"/>
  <c r="E8" i="4"/>
  <c r="B8" i="4"/>
  <c r="K7" i="4"/>
  <c r="H7" i="4"/>
  <c r="E7" i="4"/>
  <c r="B7" i="4"/>
  <c r="K6" i="4"/>
  <c r="H6" i="4"/>
  <c r="E6" i="4"/>
  <c r="B6" i="4"/>
  <c r="K5" i="4"/>
  <c r="H5" i="4"/>
  <c r="E5" i="4"/>
  <c r="B5" i="4"/>
  <c r="A1" i="4"/>
  <c r="A9" i="2"/>
  <c r="G5" i="1"/>
  <c r="E5" i="1"/>
  <c r="C5" i="1"/>
  <c r="A5" i="1"/>
  <c r="A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8F4562-BB25-4002-A835-162451E0622F}" keepAlive="1" name="Consulta - DadosTratados" description="Conexão com a consulta 'DadosTratados' na pasta de trabalho." type="5" refreshedVersion="8" saveData="1">
    <dbPr connection="Provider=Microsoft.Mashup.OleDb.1;Data Source=$Workbook$;Location=DadosTratados;Extended Properties=&quot;&quot;" command="SELECT * FROM [DadosTratados]"/>
  </connection>
  <connection id="2" xr16:uid="{B40560B4-1386-4E3A-8596-A5BEC4DF5A2B}" keepAlive="1" name="Consulta - FiltroMunicipio_Consulta" description="Conexão com a consulta 'FiltroMunicipio_Consulta' na pasta de trabalho." type="5" refreshedVersion="0" background="1">
    <dbPr connection="Provider=Microsoft.Mashup.OleDb.1;Data Source=$Workbook$;Location=FiltroMunicipio_Consulta;Extended Properties=&quot;&quot;" command="SELECT * FROM [FiltroMunicipio_Consulta]"/>
  </connection>
</connections>
</file>

<file path=xl/sharedStrings.xml><?xml version="1.0" encoding="utf-8"?>
<sst xmlns="http://schemas.openxmlformats.org/spreadsheetml/2006/main" count="2681" uniqueCount="597">
  <si>
    <t>Totais do recorte carregado. Após trocar UF/Município, use Dados &gt; Atualizar Tudo para atualizar a base.</t>
  </si>
  <si>
    <t>Escolas no recorte</t>
  </si>
  <si>
    <t>Escolas ativas</t>
  </si>
  <si>
    <t>Matrículas básicas</t>
  </si>
  <si>
    <t>Escolas públicas</t>
  </si>
  <si>
    <t>Categoria</t>
  </si>
  <si>
    <t>Escolas</t>
  </si>
  <si>
    <t>Microescola</t>
  </si>
  <si>
    <t>Estadual</t>
  </si>
  <si>
    <t>Pequena</t>
  </si>
  <si>
    <t>Municipal</t>
  </si>
  <si>
    <t>Média</t>
  </si>
  <si>
    <t>Privada</t>
  </si>
  <si>
    <t>Grande</t>
  </si>
  <si>
    <t>Muito Grande</t>
  </si>
  <si>
    <t>Não informado</t>
  </si>
  <si>
    <t>Filtro para consultas Power Query</t>
  </si>
  <si>
    <t>UF</t>
  </si>
  <si>
    <t>SP</t>
  </si>
  <si>
    <t>Município</t>
  </si>
  <si>
    <t>Rio Claro</t>
  </si>
  <si>
    <t>Caminho do arquivo Censo:</t>
  </si>
  <si>
    <t>Tabela que será lida pelo Power Query</t>
  </si>
  <si>
    <t>SG_UF</t>
  </si>
  <si>
    <t>NO_MUNICIPIO</t>
  </si>
  <si>
    <t>NO_REGIAO</t>
  </si>
  <si>
    <t>NO_UF</t>
  </si>
  <si>
    <t>CO_UF</t>
  </si>
  <si>
    <t>CO_MUNICIPIO</t>
  </si>
  <si>
    <t>NO_ENTIDADE</t>
  </si>
  <si>
    <t>CO_ENTIDADE</t>
  </si>
  <si>
    <t>TP_DEPENDENCIA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</si>
  <si>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</si>
  <si>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</si>
  <si>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</si>
  <si>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</si>
  <si>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</si>
  <si>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</si>
  <si>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</si>
  <si>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TP_SITUACAO_FUNCIONAMENTO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</si>
  <si>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</si>
  <si>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</si>
  <si>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</si>
  <si>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</si>
  <si>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</si>
  <si>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</si>
  <si>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</si>
  <si>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</si>
  <si>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</si>
  <si>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</si>
  <si>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</si>
  <si>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</si>
  <si>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</si>
  <si>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</si>
  <si>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</si>
  <si>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</si>
  <si>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</si>
  <si>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</si>
  <si>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</si>
  <si>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</si>
  <si>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</si>
  <si>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QT_MAT_BAS</t>
  </si>
  <si>
    <t>QT_MAT_INF</t>
  </si>
  <si>
    <t>QT_MAT_FUND</t>
  </si>
  <si>
    <t>QT_MAT_MED</t>
  </si>
  <si>
    <t>QT_MAT_PROF</t>
  </si>
  <si>
    <t>QT_MAT_EJA</t>
  </si>
  <si>
    <t>QT_MAT_ESP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</si>
  <si>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</si>
  <si>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</si>
  <si>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</si>
  <si>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</si>
  <si>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</si>
  <si>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</si>
  <si>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</si>
  <si>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</si>
  <si>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</si>
  <si>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</si>
  <si>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</si>
  <si>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</si>
  <si>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</si>
  <si>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</si>
  <si>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DEPENDENCIA</t>
  </si>
  <si>
    <t>LOCALIZACAO</t>
  </si>
  <si>
    <t>LOC_DIFERENCIADA</t>
  </si>
  <si>
    <t>SITUACAO</t>
  </si>
  <si>
    <t>TAMANHO_ESCOLA</t>
  </si>
  <si>
    <t>AGUA</t>
  </si>
  <si>
    <t>ENERGIA</t>
  </si>
  <si>
    <t>ESGOTO</t>
  </si>
  <si>
    <t>LIXO</t>
  </si>
  <si>
    <t>Sudeste</t>
  </si>
  <si>
    <t>São Paulo</t>
  </si>
  <si>
    <t>COLEGIO DOM BOSCO RIO CLARO</t>
  </si>
  <si>
    <t>9</t>
  </si>
  <si>
    <t>1742</t>
  </si>
  <si>
    <t>CENTRO</t>
  </si>
  <si>
    <t>Urbana</t>
  </si>
  <si>
    <t>Não</t>
  </si>
  <si>
    <t>Ativa</t>
  </si>
  <si>
    <t>Rede pública</t>
  </si>
  <si>
    <t>Serviço de coleta</t>
  </si>
  <si>
    <t>ESCOLA DA BISA EDUCACAO INFANTIL E FUNDAMENTAL</t>
  </si>
  <si>
    <t>12</t>
  </si>
  <si>
    <t>1931</t>
  </si>
  <si>
    <t>ESCOLA MUNICIPAL PROFESSORA MARILDA DOS SANTOS SOUZA</t>
  </si>
  <si>
    <t>AVENIDA 01 SM</t>
  </si>
  <si>
    <t>41</t>
  </si>
  <si>
    <t>JARDIM RESIDENCIAL SAN MARINO</t>
  </si>
  <si>
    <t>CENTRO DE CONVIVENCIA INFANTIL UNESPINHA</t>
  </si>
  <si>
    <t>16 B</t>
  </si>
  <si>
    <t>1347</t>
  </si>
  <si>
    <t>VILA BELA VISTA</t>
  </si>
  <si>
    <t>Fossa séptica</t>
  </si>
  <si>
    <t>ESCOLA MUNICIPAL PROFESSORA RUTINEIA PAULINO DE SOUZA FERREIRA DA SILVA</t>
  </si>
  <si>
    <t>1 JN</t>
  </si>
  <si>
    <t>1056</t>
  </si>
  <si>
    <t>JARDIM NOVO 1</t>
  </si>
  <si>
    <t>ESCOLA MUNICIPAL PROFESSOR OCTAVIO JOSE CHIOSSI</t>
  </si>
  <si>
    <t>5 JN</t>
  </si>
  <si>
    <t>1129</t>
  </si>
  <si>
    <t>JARDIM NOVO</t>
  </si>
  <si>
    <t>ESCOLA MUNICIPAL PROFESSORA GISELE BRIZOTTI FERRAZ FERREIRA</t>
  </si>
  <si>
    <t>AVENIDA BRASIL</t>
  </si>
  <si>
    <t>1233</t>
  </si>
  <si>
    <t>JARDIM FLORIDIANA</t>
  </si>
  <si>
    <t>COLEGIO DAGAMA</t>
  </si>
  <si>
    <t>22 BE</t>
  </si>
  <si>
    <t>669</t>
  </si>
  <si>
    <t>ESTADIO</t>
  </si>
  <si>
    <t>ESCOLA MUNICIPAL DR DJALMA OUTEIRO PINTO</t>
  </si>
  <si>
    <t>8</t>
  </si>
  <si>
    <t>3609</t>
  </si>
  <si>
    <t>ALTO DO SANTANA</t>
  </si>
  <si>
    <t>ESCOLA MUNICIPAL PROFESSORA LUCIA HELENA FERREIRA CAMARGO</t>
  </si>
  <si>
    <t>5</t>
  </si>
  <si>
    <t>360</t>
  </si>
  <si>
    <t>JARDIM ARAUCARIA</t>
  </si>
  <si>
    <t>ESCOLA MUNICIPAL THEODORO PAULO KOELLE</t>
  </si>
  <si>
    <t>17 JN</t>
  </si>
  <si>
    <t>1433</t>
  </si>
  <si>
    <t>JARDIM NOVO II</t>
  </si>
  <si>
    <t>ESCOLA MUNICIPAL PROFESSOR GUNAR WILHELM KOELLE</t>
  </si>
  <si>
    <t>18 JN</t>
  </si>
  <si>
    <t>409</t>
  </si>
  <si>
    <t>ESCOLA MAPLE BEAR RIO CLARO</t>
  </si>
  <si>
    <t>14</t>
  </si>
  <si>
    <t>ESCOLA DE EDUCACAO INFANTIL MARIA PEREGRINA</t>
  </si>
  <si>
    <t>8 JV</t>
  </si>
  <si>
    <t>52</t>
  </si>
  <si>
    <t>JARDIM VILAGE</t>
  </si>
  <si>
    <t>ESCOLA DE EDUCACAO INFANTIL PASSINHOS DE ANJOS</t>
  </si>
  <si>
    <t>29</t>
  </si>
  <si>
    <t>613</t>
  </si>
  <si>
    <t>CIDADE JARDIM</t>
  </si>
  <si>
    <t>BERCARIO E ESCOLA DE EDUCACAO INFANTIL VO CHICO</t>
  </si>
  <si>
    <t>AVENIDA 24 A</t>
  </si>
  <si>
    <t>346</t>
  </si>
  <si>
    <t>VILA ALEMA</t>
  </si>
  <si>
    <t>TRIGONO EDUCACAO INFANTIL</t>
  </si>
  <si>
    <t>40</t>
  </si>
  <si>
    <t>522</t>
  </si>
  <si>
    <t>VILA OPERARIA</t>
  </si>
  <si>
    <t>COLEGIO TRIGONO COMPLEXO EDUCACIONAL</t>
  </si>
  <si>
    <t>5 A</t>
  </si>
  <si>
    <t>236</t>
  </si>
  <si>
    <t>AVENIDA 5A</t>
  </si>
  <si>
    <t>CIDADE NOVA</t>
  </si>
  <si>
    <t>ESCOLA MUNICIPAL PROFESSOR ALDO ZOTTARELLI JUNIOR</t>
  </si>
  <si>
    <t>10 JC</t>
  </si>
  <si>
    <t>589</t>
  </si>
  <si>
    <t>BENJAMIN DE CASTRO</t>
  </si>
  <si>
    <t>ESCOLA MUNICIPAL PROFESSORA EDNA CRISTINA FARDIM FERNANDES</t>
  </si>
  <si>
    <t>P 27</t>
  </si>
  <si>
    <t>123</t>
  </si>
  <si>
    <t>VILA PAULISTA</t>
  </si>
  <si>
    <t>ESCOLA MUNICIPAL DO RESIDENCIAL DOS BOSQUES</t>
  </si>
  <si>
    <t>RUA 3 VLA</t>
  </si>
  <si>
    <t>529</t>
  </si>
  <si>
    <t>VILA ANHANGUERA</t>
  </si>
  <si>
    <t>SEST SENAT RIO CLARO</t>
  </si>
  <si>
    <t>RODOVIA WASHINGTON LUIZ</t>
  </si>
  <si>
    <t>176</t>
  </si>
  <si>
    <t>JARDIM RIO CLARO</t>
  </si>
  <si>
    <t>CAROLINA AUGUSTA SERAPHIM PROFESSORA</t>
  </si>
  <si>
    <t>CINCO B</t>
  </si>
  <si>
    <t>1191</t>
  </si>
  <si>
    <t>RUA</t>
  </si>
  <si>
    <t>VILA INDAIA</t>
  </si>
  <si>
    <t>MONSENHOR MARTINS</t>
  </si>
  <si>
    <t>AV 36</t>
  </si>
  <si>
    <t>717</t>
  </si>
  <si>
    <t>AVENIDA</t>
  </si>
  <si>
    <t>VL OPERARIA</t>
  </si>
  <si>
    <t>Inativa</t>
  </si>
  <si>
    <t>JOAQUIM SALLES CORONEL</t>
  </si>
  <si>
    <t>SETE</t>
  </si>
  <si>
    <t>793</t>
  </si>
  <si>
    <t>DJILIAH CAMARGO DE SOUZA PROFA</t>
  </si>
  <si>
    <t>R 4A</t>
  </si>
  <si>
    <t>1098</t>
  </si>
  <si>
    <t>JARDIM IPE</t>
  </si>
  <si>
    <t>JOAQUIM RIBEIRO</t>
  </si>
  <si>
    <t>SEIS</t>
  </si>
  <si>
    <t>437</t>
  </si>
  <si>
    <t>MARCELLO SCHMIDT</t>
  </si>
  <si>
    <t>AV 1</t>
  </si>
  <si>
    <t>356</t>
  </si>
  <si>
    <t>MARCIANO DE TOLEDO PIZA PROFESSOR</t>
  </si>
  <si>
    <t>NAVARRO DE ANDRADE</t>
  </si>
  <si>
    <t>139</t>
  </si>
  <si>
    <t>JOAO BATISTA LEME PROFESSOR</t>
  </si>
  <si>
    <t>BRASIL</t>
  </si>
  <si>
    <t>182</t>
  </si>
  <si>
    <t>MICHEL ANTONIO ALEM PROFESSOR</t>
  </si>
  <si>
    <t>TREZE</t>
  </si>
  <si>
    <t>1858</t>
  </si>
  <si>
    <t>CONSOLACAO</t>
  </si>
  <si>
    <t>ODILON CORREA PROFESSOR</t>
  </si>
  <si>
    <t>17</t>
  </si>
  <si>
    <t>1726</t>
  </si>
  <si>
    <t>CIDADE CLARET</t>
  </si>
  <si>
    <t>RAUL FERNANDES CHANCELER</t>
  </si>
  <si>
    <t>DOIS</t>
  </si>
  <si>
    <t>2877</t>
  </si>
  <si>
    <t>BARAO DE PIRACICABA</t>
  </si>
  <si>
    <t>OITO</t>
  </si>
  <si>
    <t>2699</t>
  </si>
  <si>
    <t>SANTANA</t>
  </si>
  <si>
    <t>ETEC PROFESSOR ARMANDO BAYEUX DA SILVA</t>
  </si>
  <si>
    <t>445</t>
  </si>
  <si>
    <t>HAMILTON PRADO DEPUTADO FEDERAL</t>
  </si>
  <si>
    <t>R 14</t>
  </si>
  <si>
    <t>3896</t>
  </si>
  <si>
    <t>VL OLINDA</t>
  </si>
  <si>
    <t>NELSON STROILI PROFESSOR</t>
  </si>
  <si>
    <t>M 22</t>
  </si>
  <si>
    <t>951</t>
  </si>
  <si>
    <t>JARDIM IPANEMA</t>
  </si>
  <si>
    <t>JOSE CARDOSO PROFESSOR</t>
  </si>
  <si>
    <t>2383</t>
  </si>
  <si>
    <t>CONJUNTO HABITACIONAL ARCOIRIS CECAP</t>
  </si>
  <si>
    <t>VICTORINO MACHADO PROF</t>
  </si>
  <si>
    <t>AV 2</t>
  </si>
  <si>
    <t>196</t>
  </si>
  <si>
    <t>BATOVI</t>
  </si>
  <si>
    <t>DELCIO BACCARO PROFESSOR</t>
  </si>
  <si>
    <t>1</t>
  </si>
  <si>
    <t>303</t>
  </si>
  <si>
    <t>COHAB</t>
  </si>
  <si>
    <t>JARDIM INOCOOP</t>
  </si>
  <si>
    <t>PEDRO DOM I ESCOLA MUNICIPAL</t>
  </si>
  <si>
    <t>3 A</t>
  </si>
  <si>
    <t>775</t>
  </si>
  <si>
    <t>BENJAMIN FERREIRA ESCOLA MUNICIPAL</t>
  </si>
  <si>
    <t>4 B</t>
  </si>
  <si>
    <t>70</t>
  </si>
  <si>
    <t>VICTORINO MACHADO PROF ESCOLA MUNICIPAL</t>
  </si>
  <si>
    <t>M 27</t>
  </si>
  <si>
    <t>1132</t>
  </si>
  <si>
    <t>PARQUE DAS INDUSTRIAS</t>
  </si>
  <si>
    <t>PAULO KOELLE DR ESCOLA MUNICIPAL</t>
  </si>
  <si>
    <t>867</t>
  </si>
  <si>
    <t>JOVELINA MORATELI ESCOLA MUNICIPAL</t>
  </si>
  <si>
    <t>9 MP</t>
  </si>
  <si>
    <t>MAE PRETA</t>
  </si>
  <si>
    <t>JOSE MARTINS DA SILVA PROF ESCOLA MUNICIPAL</t>
  </si>
  <si>
    <t>7 JP</t>
  </si>
  <si>
    <t>1055</t>
  </si>
  <si>
    <t>JARDIM RESIDENCIAL PALMEIRAS</t>
  </si>
  <si>
    <t>JARDIM DAS PALMEIRAS ESCOLA MUNICIPAL CAIC</t>
  </si>
  <si>
    <t>18 JB</t>
  </si>
  <si>
    <t>401</t>
  </si>
  <si>
    <t>JARDIM BRASILIA</t>
  </si>
  <si>
    <t>EPHRAIM RIBEIRO DOS SANTOS PROF ESCOLA MUNICIPAL</t>
  </si>
  <si>
    <t>JOSE FELICIO CASTELLANO</t>
  </si>
  <si>
    <t>1660</t>
  </si>
  <si>
    <t>VILA CRISTINA</t>
  </si>
  <si>
    <t>JOAO REHDER NETO ESCOLA MUNICIPAL</t>
  </si>
  <si>
    <t>11</t>
  </si>
  <si>
    <t>3008</t>
  </si>
  <si>
    <t>LYGIA CARMO POLASTRI VENDRAMEL PROFA ESCOLA MUNICIPAL</t>
  </si>
  <si>
    <t>11 C</t>
  </si>
  <si>
    <t>13</t>
  </si>
  <si>
    <t>ANTONIO MARIA MARROTE ESCOLA MUNICIPAL</t>
  </si>
  <si>
    <t>17 BE</t>
  </si>
  <si>
    <t>315</t>
  </si>
  <si>
    <t>ELPIDIO MINA PROF ESCOLA MUNICIPAL</t>
  </si>
  <si>
    <t>14 A</t>
  </si>
  <si>
    <t>121</t>
  </si>
  <si>
    <t>BELA VISTA</t>
  </si>
  <si>
    <t>CLARA FREIRE CASTELLANO ESCOLA MUNICIPAL</t>
  </si>
  <si>
    <t>62</t>
  </si>
  <si>
    <t>1134</t>
  </si>
  <si>
    <t>RECANTO PARAISO</t>
  </si>
  <si>
    <t>DANTE EGREGGIO ESCOLA MUNICIPAL</t>
  </si>
  <si>
    <t>P 4</t>
  </si>
  <si>
    <t>SN</t>
  </si>
  <si>
    <t>SESI 083 CENTRO EDUCACIONAL</t>
  </si>
  <si>
    <t>AVENIDA M 29</t>
  </si>
  <si>
    <t>441</t>
  </si>
  <si>
    <t>PURISSIMO CORACAO DE MARIA COLEGIO</t>
  </si>
  <si>
    <t>7</t>
  </si>
  <si>
    <t>881</t>
  </si>
  <si>
    <t>ALEM COLEGIO</t>
  </si>
  <si>
    <t>6</t>
  </si>
  <si>
    <t>536</t>
  </si>
  <si>
    <t>CLARETIANO COLEGIO</t>
  </si>
  <si>
    <t>SANTO ANTONIO MARIA CLARET</t>
  </si>
  <si>
    <t>1724</t>
  </si>
  <si>
    <t>KOELLE COLEGIO</t>
  </si>
  <si>
    <t>1827</t>
  </si>
  <si>
    <t>FRANCESCO PAOLI ESCOLA MUNICIPAL</t>
  </si>
  <si>
    <t>P 7</t>
  </si>
  <si>
    <t>787</t>
  </si>
  <si>
    <t>ADVENTISTA DE RIO CLARO COLEGIO</t>
  </si>
  <si>
    <t>9B</t>
  </si>
  <si>
    <t>1115</t>
  </si>
  <si>
    <t>SEMENTE ESCOLA DE EDUCACAO INFANTIL E ENSINO FUNDAMENTAL</t>
  </si>
  <si>
    <t>AV 25</t>
  </si>
  <si>
    <t>148</t>
  </si>
  <si>
    <t>STO ANTONIO</t>
  </si>
  <si>
    <t>APAE DE RIO CLARO</t>
  </si>
  <si>
    <t>AV. PRESIDENTE TANCREDO DE ALMEIDA  NEVES</t>
  </si>
  <si>
    <t>249</t>
  </si>
  <si>
    <t>MANOEL JOSE FERREIRA ESCOLA SENAI</t>
  </si>
  <si>
    <t>46</t>
  </si>
  <si>
    <t>661</t>
  </si>
  <si>
    <t>JARDIM PRIMAVERA</t>
  </si>
  <si>
    <t>SENAC RIO CLARO</t>
  </si>
  <si>
    <t>720</t>
  </si>
  <si>
    <t>COLEGIO OBJETIVO DE RIO CLARO</t>
  </si>
  <si>
    <t>24</t>
  </si>
  <si>
    <t>1797</t>
  </si>
  <si>
    <t>JARDIM SAO PAULO II</t>
  </si>
  <si>
    <t>COLEGIO NAZARENO</t>
  </si>
  <si>
    <t>37</t>
  </si>
  <si>
    <t>1000</t>
  </si>
  <si>
    <t>CLARETIANO COLEGIO CIDADE JARDIM</t>
  </si>
  <si>
    <t>AVENIDA 37</t>
  </si>
  <si>
    <t>SERGIO HERNANI FITTIPALDI ESCOLA MUNICIPAL</t>
  </si>
  <si>
    <t>M 53</t>
  </si>
  <si>
    <t>2513</t>
  </si>
  <si>
    <t>ENTRE RUAS 9 E 10</t>
  </si>
  <si>
    <t>JARDIM DAS FLORES</t>
  </si>
  <si>
    <t>TRADE TREINAMENTO E EDUCACAO PROFISSIONAL</t>
  </si>
  <si>
    <t>AVENIDA VISCONDE DE RIO CLARO</t>
  </si>
  <si>
    <t>LUCIDIA THEREZINHA CASSAVIA ESCRIVAO SOARES EM</t>
  </si>
  <si>
    <t>20 BV</t>
  </si>
  <si>
    <t>5784</t>
  </si>
  <si>
    <t>JARDIM BOA VISTA</t>
  </si>
  <si>
    <t>ISOLINA HUPPERT CASSAVIA ESCOLA MUNICIPAL</t>
  </si>
  <si>
    <t>18 BR</t>
  </si>
  <si>
    <t>MITIKO MATSUSHITA NEVOEIRO ESCOLA MUNICIPAL</t>
  </si>
  <si>
    <t>M 31</t>
  </si>
  <si>
    <t>2260</t>
  </si>
  <si>
    <t>JARDIM SAO JOAO</t>
  </si>
  <si>
    <t>LUCIA APARECIDA BUSCHINELLI CARNEIRO EM</t>
  </si>
  <si>
    <t>23</t>
  </si>
  <si>
    <t>3850</t>
  </si>
  <si>
    <t>JARDIM PAULISTA II</t>
  </si>
  <si>
    <t>FRANCISCA COAN ESCOLA MUNICIPAL</t>
  </si>
  <si>
    <t>2236</t>
  </si>
  <si>
    <t>SANTO ANTONIO ESCOLA MUNICIPAL</t>
  </si>
  <si>
    <t>38</t>
  </si>
  <si>
    <t>625</t>
  </si>
  <si>
    <t>ROSA MARIA CASTELLANO PIERONI ESCOLA MUNICIPAL</t>
  </si>
  <si>
    <t>M 15</t>
  </si>
  <si>
    <t>580</t>
  </si>
  <si>
    <t>JARDIM CHERVESON</t>
  </si>
  <si>
    <t>MONTEIRO LOBATO ESCOLA MUNICIPAL</t>
  </si>
  <si>
    <t>1 MP</t>
  </si>
  <si>
    <t>56</t>
  </si>
  <si>
    <t>PARQUE MAE PRETA</t>
  </si>
  <si>
    <t>MORA GUIMARAES ESCOLA MUNICIPAL</t>
  </si>
  <si>
    <t>MARIA TEIXEIRA FITTIPALDI PROFA ESCOLA MUNICIPAL</t>
  </si>
  <si>
    <t>8 JP</t>
  </si>
  <si>
    <t>1050</t>
  </si>
  <si>
    <t>JARDIM RESIDENCIAL DAS PALMEIRAS</t>
  </si>
  <si>
    <t>COMECINHO DE VIDA DIVA CABRAL DE OLIVEIRA PROFA CRECHE</t>
  </si>
  <si>
    <t>42 A</t>
  </si>
  <si>
    <t>425</t>
  </si>
  <si>
    <t>ARLINDO ANSANELLO ESCOLA MUNICIPAL</t>
  </si>
  <si>
    <t>2611</t>
  </si>
  <si>
    <t>JOSE DE CAMPOS CHAGAS PROF DR ESCOLA MUNICIPAL</t>
  </si>
  <si>
    <t>1635</t>
  </si>
  <si>
    <t>ZONA CENTRAL</t>
  </si>
  <si>
    <t>LUIZ MARTINS RODRIGUES FILHO PROF ESCOLA MUNICIPAL</t>
  </si>
  <si>
    <t>13 JW</t>
  </si>
  <si>
    <t>140</t>
  </si>
  <si>
    <t>NOVO JARDIM WENZEL</t>
  </si>
  <si>
    <t>ARMANDO GRISI PROF ESCOLA MUNICIPAL</t>
  </si>
  <si>
    <t>2540</t>
  </si>
  <si>
    <t>RUA 22 A 26</t>
  </si>
  <si>
    <t>RIO CLARO CONSERVATORIO MUSICAL</t>
  </si>
  <si>
    <t>07</t>
  </si>
  <si>
    <t>1687</t>
  </si>
  <si>
    <t>STA CRUZ</t>
  </si>
  <si>
    <t>RENASCER COLEGIO TECNICO</t>
  </si>
  <si>
    <t>519</t>
  </si>
  <si>
    <t>EDUQ COMPLEXO EDUCACIONAL</t>
  </si>
  <si>
    <t>1 A</t>
  </si>
  <si>
    <t>568</t>
  </si>
  <si>
    <t>VILA APARECIDA</t>
  </si>
  <si>
    <t>MICROCAMP ESCOLA DE EDUCACAO PROFISSIONAL</t>
  </si>
  <si>
    <t>RUA 1</t>
  </si>
  <si>
    <t>ANTONIO SEBASTIAO DA SILVA PROF ESCOLA MUNICIPAL</t>
  </si>
  <si>
    <t>M 17</t>
  </si>
  <si>
    <t>721</t>
  </si>
  <si>
    <t>DIVA MARQUES GOUVEA PROFA ESCOLA MUNICIPAL</t>
  </si>
  <si>
    <t>SAUDADE</t>
  </si>
  <si>
    <t>399</t>
  </si>
  <si>
    <t>DJILIAH CAMARGO DE SOUZA PROFA ESCOLA MUNICIPAL</t>
  </si>
  <si>
    <t>4 A</t>
  </si>
  <si>
    <t>HAMILTON PRADO DEPUTADO FEDERAL ESCOLA MUNICIPAL</t>
  </si>
  <si>
    <t>VILA OLINDA</t>
  </si>
  <si>
    <t>MARCELLO SCHMIDT ESCOLA MUNICIPAL</t>
  </si>
  <si>
    <t>25</t>
  </si>
  <si>
    <t>SAUDE</t>
  </si>
  <si>
    <t>MONSENHOR MARTINS ESCOLA MUNICIPAL</t>
  </si>
  <si>
    <t>36</t>
  </si>
  <si>
    <t>SYLVIO DE ARAUJO PROF ESCOLA MUNICIPAL</t>
  </si>
  <si>
    <t>9 A</t>
  </si>
  <si>
    <t>2486</t>
  </si>
  <si>
    <t>VILA SAO MIGUEL</t>
  </si>
  <si>
    <t>DENNIZARD FRANCA MACHADO PROFESSOR ESCOLA MUNICIPAL</t>
  </si>
  <si>
    <t>2</t>
  </si>
  <si>
    <t>CENTRO DE RESSOCIALIZACAO MASC DE RIO CLARO CLS PROV</t>
  </si>
  <si>
    <t>30 NR</t>
  </si>
  <si>
    <t>200</t>
  </si>
  <si>
    <t>JARDIM NOVA RIO CLARO</t>
  </si>
  <si>
    <t>SEBASTIAO AMBROZIO PROF ESCOLA MUNICIPAL</t>
  </si>
  <si>
    <t>428</t>
  </si>
  <si>
    <t>JARDIM NOVO I</t>
  </si>
  <si>
    <t>NEPHTALI VIEIRA JUNIOR PASTOR ESCOLA MUNICIPAL</t>
  </si>
  <si>
    <t>RUA 6</t>
  </si>
  <si>
    <t>3461</t>
  </si>
  <si>
    <t>SUELI MARIA PRONI CERRI PROFESSORA ESCOLA MUNICIPAL</t>
  </si>
  <si>
    <t>54 A</t>
  </si>
  <si>
    <t>523</t>
  </si>
  <si>
    <t>SUELI APARECIDA MARIN PROFESSORA ESCOLA MUNICIPAL</t>
  </si>
  <si>
    <t>2288</t>
  </si>
  <si>
    <t>SAMIRA ASSENCIO SAVOLDI PROFESSORA ESCOLA MUNICIPAL</t>
  </si>
  <si>
    <t>40 SE</t>
  </si>
  <si>
    <t>JARDIM RESIDENCIAL SANTA ELIZA</t>
  </si>
  <si>
    <t>HELIO JORGE DOS SANTOS ESCOLA MUNICIPAL</t>
  </si>
  <si>
    <t>2 JN</t>
  </si>
  <si>
    <t>BLOCO 2</t>
  </si>
  <si>
    <t>ESTRELA DA ESPERANCA INSTITUTO</t>
  </si>
  <si>
    <t>2017</t>
  </si>
  <si>
    <t>CENTRO ATEND SOCIOEDUC AO ADOLESCENTE DE RIO CLARO CI</t>
  </si>
  <si>
    <t>WILSON FINARDI</t>
  </si>
  <si>
    <t>KM 79</t>
  </si>
  <si>
    <t>DISTRITO INDUSTRIAL</t>
  </si>
  <si>
    <t>Rural</t>
  </si>
  <si>
    <t>CENTRO ATEND SOCIOEDUC AO ADOLESCENTE DE RIO CLARO-UIP</t>
  </si>
  <si>
    <t>RODOVIA WILSON FINARDI</t>
  </si>
  <si>
    <t>CELESTE CALIL ESCOLA MUNICIPAL</t>
  </si>
  <si>
    <t>756</t>
  </si>
  <si>
    <t>JARDIM NOVO WENZEL</t>
  </si>
  <si>
    <t>ANA S PARK RECANTO INFANTIL</t>
  </si>
  <si>
    <t>1419</t>
  </si>
  <si>
    <t>CARROSSEL ESCOLA DESENVOLVIMENTO EDUCACIONAL INFANTIL</t>
  </si>
  <si>
    <t>2193</t>
  </si>
  <si>
    <t>Descarte em outra área</t>
  </si>
  <si>
    <t>PEQUENO PRINCIPE ESCOLA</t>
  </si>
  <si>
    <t>1636</t>
  </si>
  <si>
    <t>VILA DO RADIO</t>
  </si>
  <si>
    <t>FAZENDO ARTE CENTRO DE EDUCACAO INFANTIL</t>
  </si>
  <si>
    <t>32 A</t>
  </si>
  <si>
    <t>112</t>
  </si>
  <si>
    <t>CATAVENTO ESCOLA DE EDUCACAO INFANTIL</t>
  </si>
  <si>
    <t>545</t>
  </si>
  <si>
    <t>EDUCATIVA ESCOLA DE EDUCACAO INFANTIL</t>
  </si>
  <si>
    <t>BRINQUEDOTECA ESCOLA DE ED INFANTIL E ENS FUNDAMENTAL UND I</t>
  </si>
  <si>
    <t>4</t>
  </si>
  <si>
    <t>532</t>
  </si>
  <si>
    <t>BRINQUEDOTECA ESCOLA ED INFANTIL E ENSINO FUNDAMENTAL UND II</t>
  </si>
  <si>
    <t>155</t>
  </si>
  <si>
    <t>JARDIM DONANGELA</t>
  </si>
  <si>
    <t>NOVO ALVORECER CENTRO EDUCACIONAL</t>
  </si>
  <si>
    <t>JARDIM AMERICA</t>
  </si>
  <si>
    <t>JANUARIO SYLVIO PEZZOTTI PROFESSOR</t>
  </si>
  <si>
    <t>RUA 8 JN</t>
  </si>
  <si>
    <t>450</t>
  </si>
  <si>
    <t>ANGELA MONACO PERIN AILY PROFESSORA ESCOLA MUNICIPAL</t>
  </si>
  <si>
    <t>8 JN</t>
  </si>
  <si>
    <t>CENTRO DE RESSOCIALIZACAO FEMININO DE RIO CLARO</t>
  </si>
  <si>
    <t>12 BE</t>
  </si>
  <si>
    <t>MARINA FREDINE DAINESE CYRINO PROFA ESCOLA MUNICIPAL</t>
  </si>
  <si>
    <t>8 CJ</t>
  </si>
  <si>
    <t>50</t>
  </si>
  <si>
    <t>RIO CLARO COLEGIO POLITECNICO</t>
  </si>
  <si>
    <t>AVENIDA 24</t>
  </si>
  <si>
    <t>1444</t>
  </si>
  <si>
    <t>CEL JTO A EE JOAQUIM RIBEIRO</t>
  </si>
  <si>
    <t>DARCI REGINATTO EM</t>
  </si>
  <si>
    <t>1700</t>
  </si>
  <si>
    <t>MARIA ISABEL SOARES PROFESSORA EM</t>
  </si>
  <si>
    <t>137</t>
  </si>
  <si>
    <t>MARIA APARECIDA POLASTRI HARTUNG DONA BIRRO EM</t>
  </si>
  <si>
    <t>M 22A</t>
  </si>
  <si>
    <t>1177</t>
  </si>
  <si>
    <t>JARDIM PROGRESSO</t>
  </si>
  <si>
    <t>APROVADO CURSO</t>
  </si>
  <si>
    <t>AVENIDA 2</t>
  </si>
  <si>
    <t>ESCOLA SUPERIOR DE TECNOLOGIA E EDUCACAO DE RIO CLARO</t>
  </si>
  <si>
    <t>RUA 7</t>
  </si>
  <si>
    <t>1193</t>
  </si>
  <si>
    <t>ESCOLA MUNICIPAL CAMINHO DA VIDA PROFA MARGARIDA PENTEADO</t>
  </si>
  <si>
    <t>2 JW</t>
  </si>
  <si>
    <t>784</t>
  </si>
  <si>
    <t>COM AVENIDA 7 JW</t>
  </si>
  <si>
    <t>CORA CORALINA ESCOLA</t>
  </si>
  <si>
    <t>358</t>
  </si>
  <si>
    <t>SANTO ANTONIO</t>
  </si>
  <si>
    <t>SYLVIO DE ARAUJO PROF</t>
  </si>
  <si>
    <t>R 9 A</t>
  </si>
  <si>
    <t>VL S MIGUEL</t>
  </si>
  <si>
    <t>ROBERTO GARCIA LOSZ PROFESSOR</t>
  </si>
  <si>
    <t>92 BV</t>
  </si>
  <si>
    <t>OSCALIA GOES CORREA SANTOS PROFESSORA</t>
  </si>
  <si>
    <t>1646</t>
  </si>
  <si>
    <t>PARQUE UNIVERSITARIO</t>
  </si>
  <si>
    <t>HELOISA LEMENHE MARASCA PROFESSORA</t>
  </si>
  <si>
    <t>181</t>
  </si>
  <si>
    <t>OSCAR DE ALMEIDA PROFESSOR</t>
  </si>
  <si>
    <t>MANOEL EDILSON TEIXEIRA</t>
  </si>
  <si>
    <t>DISTRITO DE ASSISTENCIA</t>
  </si>
  <si>
    <t>ZITA DE GODOY CAMARGO PROFESSORA</t>
  </si>
  <si>
    <t>M 17A</t>
  </si>
  <si>
    <t>639</t>
  </si>
  <si>
    <t>JOAO BAPTISTA NEGRAO FILHO PROFESSOR</t>
  </si>
  <si>
    <t>6 JG</t>
  </si>
  <si>
    <t>JARDIM GUANABARA</t>
  </si>
  <si>
    <t>JOSE FERNANDES PROFESSOR</t>
  </si>
  <si>
    <t>TRES</t>
  </si>
  <si>
    <t>735</t>
  </si>
  <si>
    <t>DISTRITO DE AJAPI</t>
  </si>
  <si>
    <t>LAURA PENNA JOLY PROFA ESCOLA MUNICIPAL</t>
  </si>
  <si>
    <t>RUA 10 AJAPI</t>
  </si>
  <si>
    <t>188</t>
  </si>
  <si>
    <t>JARDIM DOS SABIAS AJAPI</t>
  </si>
  <si>
    <t>RUBENS FOOT GUIMARAES ESCOLA MUNICIPAL</t>
  </si>
  <si>
    <t>KM7</t>
  </si>
  <si>
    <t>ESTRADA RIO CLARO AJ</t>
  </si>
  <si>
    <t>CENTRO AJAPI</t>
  </si>
  <si>
    <t>BENEDICTO JOSE ZAINE PROFESSOR ESCOLA MUNICIPAL</t>
  </si>
  <si>
    <t>4 FERRAZ</t>
  </si>
  <si>
    <t>415</t>
  </si>
  <si>
    <t>FERRAZ</t>
  </si>
  <si>
    <t>JOAO BATISTA MAULE ESCOLA MUNICIPAL</t>
  </si>
  <si>
    <t>833</t>
  </si>
  <si>
    <t>Água</t>
  </si>
  <si>
    <t>Energia</t>
  </si>
  <si>
    <t>Esgoto</t>
  </si>
  <si>
    <t>Lixo</t>
  </si>
  <si>
    <t>Poço artesiano</t>
  </si>
  <si>
    <t>Gerador fóssil</t>
  </si>
  <si>
    <t>Queima</t>
  </si>
  <si>
    <t>Cacimba</t>
  </si>
  <si>
    <t>Renovável</t>
  </si>
  <si>
    <t>Fossa comum</t>
  </si>
  <si>
    <t>Enterra</t>
  </si>
  <si>
    <t>Fonte/Rio</t>
  </si>
  <si>
    <t>Inexistente</t>
  </si>
  <si>
    <t>Fossa rudimentar</t>
  </si>
  <si>
    <t>Destino final público</t>
  </si>
  <si>
    <t>Carro-pipa</t>
  </si>
  <si>
    <t>C:\Users\Rafael\Downloads\Censo_2024_Excel (1) (1)\Censo_2024_Excel.xlsx</t>
  </si>
  <si>
    <t>Rótulos de Linha</t>
  </si>
  <si>
    <t>Total Geral</t>
  </si>
  <si>
    <t>Contagem de CO_ENTIDADE</t>
  </si>
  <si>
    <t>TABELA DINÂMICA -  DEPENDÊNCIA</t>
  </si>
  <si>
    <t>TABELA DINÂMICA - PORTE</t>
  </si>
  <si>
    <t>TABELA DINÂMICA - ÁGUA</t>
  </si>
  <si>
    <t>TABELA DINÂMICA - ESGOTO</t>
  </si>
  <si>
    <t>TABELA  DINÂMICA - LIXO</t>
  </si>
  <si>
    <t>TABELA DINÂMICA - ENERGIA</t>
  </si>
  <si>
    <t>TABELA DINÂMICA - SEXO</t>
  </si>
  <si>
    <t>TABELA DINÂMICA - RAÇA/COR</t>
  </si>
  <si>
    <t>TABELA DINÂMICA - ETAPA DE ENSINO</t>
  </si>
  <si>
    <t>Valores</t>
  </si>
  <si>
    <t>Masculino</t>
  </si>
  <si>
    <t xml:space="preserve">Feminino </t>
  </si>
  <si>
    <t>Não declarada</t>
  </si>
  <si>
    <t>Branca</t>
  </si>
  <si>
    <t>Preta</t>
  </si>
  <si>
    <t>Parda</t>
  </si>
  <si>
    <t>Amarela</t>
  </si>
  <si>
    <t>Indígena</t>
  </si>
  <si>
    <t>Educação Infântil</t>
  </si>
  <si>
    <t>Fundamental</t>
  </si>
  <si>
    <t>Ensino Médio</t>
  </si>
  <si>
    <t>Profissional</t>
  </si>
  <si>
    <t>Eja</t>
  </si>
  <si>
    <t>Eduação 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</si>
</sst>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7365D"/>
      <name val="Calibri"/>
      <family val="2"/>
    </font>
    <font>
      <b/>
      <sz val="19"/>
      <color rgb="FFFFFFFF"/>
      <name val="Calibri"/>
      <family val="2"/>
    </font>
    <font>
      <b/>
      <sz val="11"/>
      <color rgb="FFFFFFFF"/>
      <name val="Calibri"/>
      <family val="2"/>
    </font>
    <font>
      <b/>
      <sz val="18"/>
      <color rgb="FF17365D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6"/>
      <color rgb="FF404040"/>
      <name val="Calibri"/>
      <family val="2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FF5F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theme="5"/>
      </patternFill>
    </fill>
  </fills>
  <borders count="6">
    <border>
      <left/>
      <right/>
      <top/>
      <bottom/>
      <diagonal/>
    </border>
    <border>
      <left/>
      <right/>
      <top/>
      <bottom style="thin">
        <color rgb="FF17365D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3" applyNumberFormat="0" applyFont="0" applyAlignment="0" applyProtection="0"/>
    <xf numFmtId="0" fontId="14" fillId="14" borderId="0" applyNumberFormat="0" applyBorder="0" applyAlignment="0" applyProtection="0"/>
  </cellStyleXfs>
  <cellXfs count="35">
    <xf numFmtId="0" fontId="0" fillId="0" borderId="0" xfId="0"/>
    <xf numFmtId="0" fontId="4" fillId="2" borderId="0" xfId="0" applyFont="1" applyFill="1"/>
    <xf numFmtId="0" fontId="6" fillId="0" borderId="0" xfId="0" applyFont="1"/>
    <xf numFmtId="0" fontId="2" fillId="0" borderId="0" xfId="0" applyFont="1"/>
    <xf numFmtId="0" fontId="0" fillId="3" borderId="1" xfId="0" applyFill="1" applyBorder="1"/>
    <xf numFmtId="0" fontId="7" fillId="0" borderId="0" xfId="0" applyFont="1"/>
    <xf numFmtId="3" fontId="0" fillId="0" borderId="0" xfId="0" applyNumberFormat="1"/>
    <xf numFmtId="0" fontId="11" fillId="11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8" fillId="10" borderId="0" xfId="6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0" borderId="0" xfId="0"/>
    <xf numFmtId="0" fontId="3" fillId="2" borderId="0" xfId="0" applyFont="1" applyFill="1" applyAlignment="1">
      <alignment vertical="center"/>
    </xf>
    <xf numFmtId="0" fontId="12" fillId="0" borderId="0" xfId="0" applyFont="1"/>
    <xf numFmtId="0" fontId="13" fillId="0" borderId="0" xfId="0" applyFont="1"/>
    <xf numFmtId="0" fontId="7" fillId="0" borderId="0" xfId="0" applyFont="1" applyAlignment="1">
      <alignment vertical="top" wrapText="1"/>
    </xf>
    <xf numFmtId="0" fontId="5" fillId="4" borderId="0" xfId="0" applyFont="1" applyFill="1" applyAlignment="1">
      <alignment horizontal="center"/>
    </xf>
    <xf numFmtId="0" fontId="8" fillId="9" borderId="0" xfId="5" applyAlignment="1">
      <alignment horizontal="center"/>
    </xf>
    <xf numFmtId="0" fontId="9" fillId="5" borderId="0" xfId="1" applyAlignment="1">
      <alignment horizontal="center"/>
    </xf>
    <xf numFmtId="0" fontId="8" fillId="8" borderId="0" xfId="4" applyAlignment="1">
      <alignment horizontal="center"/>
    </xf>
    <xf numFmtId="0" fontId="8" fillId="7" borderId="0" xfId="3" applyAlignment="1">
      <alignment horizontal="center"/>
    </xf>
    <xf numFmtId="0" fontId="10" fillId="6" borderId="0" xfId="2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  <xf numFmtId="0" fontId="0" fillId="13" borderId="3" xfId="7" applyFont="1" applyAlignment="1">
      <alignment horizontal="center"/>
    </xf>
    <xf numFmtId="0" fontId="0" fillId="0" borderId="0" xfId="0" applyNumberFormat="1"/>
    <xf numFmtId="3" fontId="0" fillId="0" borderId="0" xfId="0" applyNumberFormat="1" applyAlignment="1">
      <alignment horizontal="left"/>
    </xf>
    <xf numFmtId="0" fontId="0" fillId="13" borderId="4" xfId="7" applyFont="1" applyBorder="1" applyAlignment="1">
      <alignment horizontal="center"/>
    </xf>
    <xf numFmtId="0" fontId="0" fillId="13" borderId="5" xfId="7" applyFont="1" applyBorder="1" applyAlignment="1">
      <alignment horizontal="center"/>
    </xf>
    <xf numFmtId="0" fontId="14" fillId="14" borderId="4" xfId="8" applyBorder="1" applyAlignment="1">
      <alignment horizontal="center"/>
    </xf>
    <xf numFmtId="0" fontId="14" fillId="14" borderId="5" xfId="8" applyBorder="1" applyAlignment="1">
      <alignment horizontal="center"/>
    </xf>
    <xf numFmtId="0" fontId="0" fillId="12" borderId="2" xfId="0" applyNumberFormat="1" applyFont="1" applyFill="1" applyBorder="1"/>
    <xf numFmtId="0" fontId="0" fillId="12" borderId="0" xfId="0" applyNumberFormat="1" applyFont="1" applyFill="1" applyBorder="1"/>
  </cellXfs>
  <cellStyles count="9">
    <cellStyle name="40% - Ênfase1" xfId="3" builtinId="31"/>
    <cellStyle name="60% - Ênfase1" xfId="4" builtinId="32"/>
    <cellStyle name="60% - Ênfase4" xfId="5" builtinId="44"/>
    <cellStyle name="60% - Ênfase6" xfId="6" builtinId="52"/>
    <cellStyle name="Bom" xfId="1" builtinId="26"/>
    <cellStyle name="Ênfase2" xfId="8" builtinId="33"/>
    <cellStyle name="Neutro" xfId="2" builtinId="28"/>
    <cellStyle name="Normal" xfId="0" builtinId="0"/>
    <cellStyle name="Nota" xfId="7" builtinId="10"/>
  </cellStyles>
  <dxfs count="24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dependência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ESCOLAS</a:t>
            </a:r>
            <a:r>
              <a:rPr lang="pt-BR" sz="16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POR DEPENDÊNCIA</a:t>
            </a:r>
            <a:endParaRPr lang="pt-BR" sz="16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Tabelas_Dinâmicas!$B$2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Tabelas_Dinâmicas!$A$3:$A$6</c:f>
              <c:strCache>
                <c:ptCount val="3"/>
                <c:pt idx="0">
                  <c:v>Estadual</c:v>
                </c:pt>
                <c:pt idx="1">
                  <c:v>Municipal</c:v>
                </c:pt>
                <c:pt idx="2">
                  <c:v>Privada</c:v>
                </c:pt>
              </c:strCache>
            </c:strRef>
          </c:cat>
          <c:val>
            <c:numRef>
              <c:f>Tabelas_Dinâmicas!$B$3:$B$6</c:f>
              <c:numCache>
                <c:formatCode>General</c:formatCode>
                <c:ptCount val="3"/>
                <c:pt idx="0">
                  <c:v>34</c:v>
                </c:pt>
                <c:pt idx="1">
                  <c:v>67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1B-4680-ABBB-8B27C1040E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5849520"/>
        <c:axId val="305855280"/>
      </c:barChart>
      <c:catAx>
        <c:axId val="30584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305855280"/>
        <c:crosses val="autoZero"/>
        <c:auto val="1"/>
        <c:lblAlgn val="ctr"/>
        <c:lblOffset val="100"/>
        <c:noMultiLvlLbl val="0"/>
      </c:catAx>
      <c:valAx>
        <c:axId val="30585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584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porte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ESCOLAS POR PORTE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Tabelas_Dinâmicas!$G$2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Tabelas_Dinâmicas!$F$3:$F$9</c:f>
              <c:strCache>
                <c:ptCount val="6"/>
                <c:pt idx="0">
                  <c:v>Grande</c:v>
                </c:pt>
                <c:pt idx="1">
                  <c:v>Média</c:v>
                </c:pt>
                <c:pt idx="2">
                  <c:v>Microescola</c:v>
                </c:pt>
                <c:pt idx="3">
                  <c:v>Muito Grande</c:v>
                </c:pt>
                <c:pt idx="4">
                  <c:v>Não informado</c:v>
                </c:pt>
                <c:pt idx="5">
                  <c:v>Pequena</c:v>
                </c:pt>
              </c:strCache>
            </c:strRef>
          </c:cat>
          <c:val>
            <c:numRef>
              <c:f>Tabelas_Dinâmicas!$G$3:$G$9</c:f>
              <c:numCache>
                <c:formatCode>General</c:formatCode>
                <c:ptCount val="6"/>
                <c:pt idx="0">
                  <c:v>23</c:v>
                </c:pt>
                <c:pt idx="1">
                  <c:v>38</c:v>
                </c:pt>
                <c:pt idx="2">
                  <c:v>14</c:v>
                </c:pt>
                <c:pt idx="3">
                  <c:v>7</c:v>
                </c:pt>
                <c:pt idx="4">
                  <c:v>21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C-41C0-BCD0-8B1110F73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64592912"/>
        <c:axId val="1264594352"/>
      </c:barChart>
      <c:catAx>
        <c:axId val="1264592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264594352"/>
        <c:crosses val="autoZero"/>
        <c:auto val="1"/>
        <c:lblAlgn val="ctr"/>
        <c:lblOffset val="100"/>
        <c:noMultiLvlLbl val="0"/>
      </c:catAx>
      <c:valAx>
        <c:axId val="126459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59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agua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ABASTECIMENTO</a:t>
            </a:r>
            <a:r>
              <a:rPr lang="en-US" sz="16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ÁGUA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Tabelas_Dinâmicas!$B$44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Tabelas_Dinâmicas!$A$45:$A$47</c:f>
              <c:strCache>
                <c:ptCount val="2"/>
                <c:pt idx="0">
                  <c:v>Não informado</c:v>
                </c:pt>
                <c:pt idx="1">
                  <c:v>Rede pública</c:v>
                </c:pt>
              </c:strCache>
            </c:strRef>
          </c:cat>
          <c:val>
            <c:numRef>
              <c:f>Tabelas_Dinâmicas!$B$45:$B$47</c:f>
              <c:numCache>
                <c:formatCode>General</c:formatCode>
                <c:ptCount val="2"/>
                <c:pt idx="0">
                  <c:v>21</c:v>
                </c:pt>
                <c:pt idx="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B-4025-898E-6CC4F68750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7585408"/>
        <c:axId val="147584928"/>
      </c:barChart>
      <c:catAx>
        <c:axId val="14758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47584928"/>
        <c:crosses val="autoZero"/>
        <c:auto val="1"/>
        <c:lblAlgn val="ctr"/>
        <c:lblOffset val="100"/>
        <c:noMultiLvlLbl val="0"/>
      </c:catAx>
      <c:valAx>
        <c:axId val="1475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5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energia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ABASTECIMENTO</a:t>
            </a:r>
            <a:r>
              <a:rPr lang="en-US" sz="1600" b="1" i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ENERGIA</a:t>
            </a:r>
            <a:endParaRPr lang="en-US" sz="1600" b="1" i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Tabelas_Dinâmicas!$G$44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Tabelas_Dinâmicas!$F$45:$F$47</c:f>
              <c:strCache>
                <c:ptCount val="2"/>
                <c:pt idx="0">
                  <c:v>Não informado</c:v>
                </c:pt>
                <c:pt idx="1">
                  <c:v>Rede pública</c:v>
                </c:pt>
              </c:strCache>
            </c:strRef>
          </c:cat>
          <c:val>
            <c:numRef>
              <c:f>Tabelas_Dinâmicas!$G$45:$G$47</c:f>
              <c:numCache>
                <c:formatCode>General</c:formatCode>
                <c:ptCount val="2"/>
                <c:pt idx="0">
                  <c:v>21</c:v>
                </c:pt>
                <c:pt idx="1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2-4813-B5F3-700D9668AC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23806608"/>
        <c:axId val="1523805168"/>
      </c:barChart>
      <c:catAx>
        <c:axId val="1523806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23805168"/>
        <c:crosses val="autoZero"/>
        <c:auto val="1"/>
        <c:lblAlgn val="ctr"/>
        <c:lblOffset val="100"/>
        <c:noMultiLvlLbl val="0"/>
      </c:catAx>
      <c:valAx>
        <c:axId val="152380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80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esgoto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ESGOTO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Tabelas_Dinâmicas!$B$16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Tabelas_Dinâmicas!$A$17:$A$20</c:f>
              <c:strCache>
                <c:ptCount val="3"/>
                <c:pt idx="0">
                  <c:v>Fossa séptica</c:v>
                </c:pt>
                <c:pt idx="1">
                  <c:v>Não informado</c:v>
                </c:pt>
                <c:pt idx="2">
                  <c:v>Rede pública</c:v>
                </c:pt>
              </c:strCache>
            </c:strRef>
          </c:cat>
          <c:val>
            <c:numRef>
              <c:f>Tabelas_Dinâmicas!$B$17:$B$20</c:f>
              <c:numCache>
                <c:formatCode>General</c:formatCode>
                <c:ptCount val="3"/>
                <c:pt idx="0">
                  <c:v>2</c:v>
                </c:pt>
                <c:pt idx="1">
                  <c:v>21</c:v>
                </c:pt>
                <c:pt idx="2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F-437C-8DDC-AE1D8A66A4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11308640"/>
        <c:axId val="1711311040"/>
      </c:barChart>
      <c:catAx>
        <c:axId val="17113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1311040"/>
        <c:crosses val="autoZero"/>
        <c:auto val="1"/>
        <c:lblAlgn val="ctr"/>
        <c:lblOffset val="100"/>
        <c:noMultiLvlLbl val="0"/>
      </c:catAx>
      <c:valAx>
        <c:axId val="1711311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13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lixo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LIXO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Tabelas_Dinâmicas!$G$16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Tabelas_Dinâmicas!$F$17:$F$20</c:f>
              <c:strCache>
                <c:ptCount val="3"/>
                <c:pt idx="0">
                  <c:v>Descarte em outra área</c:v>
                </c:pt>
                <c:pt idx="1">
                  <c:v>Não informado</c:v>
                </c:pt>
                <c:pt idx="2">
                  <c:v>Serviço de coleta</c:v>
                </c:pt>
              </c:strCache>
            </c:strRef>
          </c:cat>
          <c:val>
            <c:numRef>
              <c:f>Tabelas_Dinâmicas!$G$17:$G$20</c:f>
              <c:numCache>
                <c:formatCode>General</c:formatCode>
                <c:ptCount val="3"/>
                <c:pt idx="0">
                  <c:v>1</c:v>
                </c:pt>
                <c:pt idx="1">
                  <c:v>21</c:v>
                </c:pt>
                <c:pt idx="2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161-8689-B68AAB9BB9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6033504"/>
        <c:axId val="1706032064"/>
      </c:barChart>
      <c:catAx>
        <c:axId val="17060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32064"/>
        <c:crosses val="autoZero"/>
        <c:auto val="1"/>
        <c:lblAlgn val="ctr"/>
        <c:lblOffset val="100"/>
        <c:noMultiLvlLbl val="0"/>
      </c:catAx>
      <c:valAx>
        <c:axId val="170603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 - SEXO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SEXO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Tabelas_Dinâmicas!$B$56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Tabelas_Dinâmicas!$A$57:$A$58</c:f>
              <c:strCache>
                <c:ptCount val="2"/>
                <c:pt idx="0">
                  <c:v>Feminino </c:v>
                </c:pt>
                <c:pt idx="1">
                  <c:v>Masculino</c:v>
                </c:pt>
              </c:strCache>
            </c:strRef>
          </c:cat>
          <c:val>
            <c:numRef>
              <c:f>Tabelas_Dinâmicas!$B$57:$B$58</c:f>
              <c:numCache>
                <c:formatCode>#,##0</c:formatCode>
                <c:ptCount val="2"/>
                <c:pt idx="0">
                  <c:v>21172</c:v>
                </c:pt>
                <c:pt idx="1">
                  <c:v>21909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A-402E-8E7E-F3520FA30B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6022944"/>
        <c:axId val="1706027264"/>
      </c:barChart>
      <c:catAx>
        <c:axId val="170602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27264"/>
        <c:crosses val="autoZero"/>
        <c:auto val="1"/>
        <c:lblAlgn val="ctr"/>
        <c:lblOffset val="100"/>
        <c:noMultiLvlLbl val="0"/>
      </c:catAx>
      <c:valAx>
        <c:axId val="17060272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RAÇA/COR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Tabelas_Dinâmicas!$B$29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Tabelas_Dinâmicas!$A$30:$A$35</c:f>
              <c:strCache>
                <c:ptCount val="6"/>
                <c:pt idx="0">
                  <c:v>Não declarada</c:v>
                </c:pt>
                <c:pt idx="1">
                  <c:v>Branca</c:v>
                </c:pt>
                <c:pt idx="2">
                  <c:v>Preta</c:v>
                </c:pt>
                <c:pt idx="3">
                  <c:v>Parda</c:v>
                </c:pt>
                <c:pt idx="4">
                  <c:v>Amarela</c:v>
                </c:pt>
                <c:pt idx="5">
                  <c:v>Indígena</c:v>
                </c:pt>
              </c:strCache>
            </c:strRef>
          </c:cat>
          <c:val>
            <c:numRef>
              <c:f>Tabelas_Dinâmicas!$B$30:$B$35</c:f>
              <c:numCache>
                <c:formatCode>#,##0</c:formatCode>
                <c:ptCount val="6"/>
                <c:pt idx="0">
                  <c:v>4027</c:v>
                </c:pt>
                <c:pt idx="1">
                  <c:v>28582</c:v>
                </c:pt>
                <c:pt idx="2">
                  <c:v>1287</c:v>
                </c:pt>
                <c:pt idx="3">
                  <c:v>9060</c:v>
                </c:pt>
                <c:pt idx="4">
                  <c:v>99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D-49B2-BAB9-E15A5C9542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36090944"/>
        <c:axId val="736091424"/>
      </c:barChart>
      <c:catAx>
        <c:axId val="73609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091424"/>
        <c:crosses val="autoZero"/>
        <c:auto val="1"/>
        <c:lblAlgn val="ctr"/>
        <c:lblOffset val="100"/>
        <c:noMultiLvlLbl val="0"/>
      </c:catAx>
      <c:valAx>
        <c:axId val="736091424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09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[painel-censo-escolar-2024-Final.xlsx]Tabelas_Dinâmicas!Tabela dinâmica5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ETAPAS</a:t>
            </a:r>
            <a:r>
              <a:rPr lang="en-US" sz="1600" b="1" i="1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ENSINO</a:t>
            </a:r>
          </a:p>
          <a:p>
            <a:pPr>
              <a:defRPr sz="1600" b="1" i="1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 sz="1600" b="1" i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Tabelas_Dinâmicas!$G$29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Tabelas_Dinâmicas!$F$30:$F$35</c:f>
              <c:strCache>
                <c:ptCount val="6"/>
                <c:pt idx="0">
                  <c:v>Educação Infântil</c:v>
                </c:pt>
                <c:pt idx="1">
                  <c:v>Fundamental</c:v>
                </c:pt>
                <c:pt idx="2">
                  <c:v>Ensino Médio</c:v>
                </c:pt>
                <c:pt idx="3">
                  <c:v>Profissional</c:v>
                </c:pt>
                <c:pt idx="4">
                  <c:v>Eja</c:v>
                </c:pt>
                <c:pt idx="5">
                  <c:v>Eduação Especial</c:v>
                </c:pt>
              </c:strCache>
            </c:strRef>
          </c:cat>
          <c:val>
            <c:numRef>
              <c:f>Tabelas_Dinâmicas!$G$30:$G$35</c:f>
              <c:numCache>
                <c:formatCode>#,##0</c:formatCode>
                <c:ptCount val="6"/>
                <c:pt idx="0">
                  <c:v>9411</c:v>
                </c:pt>
                <c:pt idx="1">
                  <c:v>22664</c:v>
                </c:pt>
                <c:pt idx="2">
                  <c:v>8998</c:v>
                </c:pt>
                <c:pt idx="3">
                  <c:v>2161</c:v>
                </c:pt>
                <c:pt idx="4">
                  <c:v>712</c:v>
                </c:pt>
                <c:pt idx="5">
                  <c:v>1483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0-4985-AD35-22930B5304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6021504"/>
        <c:axId val="1706021984"/>
      </c:barChart>
      <c:catAx>
        <c:axId val="170602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21984"/>
        <c:crosses val="autoZero"/>
        <c:auto val="1"/>
        <c:lblAlgn val="ctr"/>
        <c:lblOffset val="100"/>
        <c:noMultiLvlLbl val="0"/>
      </c:catAx>
      <c:valAx>
        <c:axId val="17060219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602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81643</xdr:colOff>
      <xdr:row>5</xdr:row>
      <xdr:rowOff>120593</xdr:rowOff>
    </xdr:from>
    <xdr:to>
      <xdr:col>4</xdr:col>
      <xdr:colOff>557893</xdr:colOff>
      <xdr:row>20</xdr:row>
      <xdr:rowOff>6293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673C71AB-4EEF-D747-C16D-A59925BFC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901475</xdr:colOff>
      <xdr:row>5</xdr:row>
      <xdr:rowOff>144746</xdr:rowOff>
    </xdr:from>
    <xdr:to>
      <xdr:col>8</xdr:col>
      <xdr:colOff>381000</xdr:colOff>
      <xdr:row>20</xdr:row>
      <xdr:rowOff>30446</xdr:rowOff>
    </xdr:to>
    <xdr:graphicFrame macro="">
      <xdr:nvGraphicFramePr>
        <xdr:cNvPr id="5" name="Gráfico 2">
          <a:extLst>
            <a:ext uri="{FF2B5EF4-FFF2-40B4-BE49-F238E27FC236}">
              <a16:creationId xmlns:a16="http://schemas.microsoft.com/office/drawing/2014/main" id="{23C4EE45-6F25-130A-2003-E747B3261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453799</xdr:colOff>
      <xdr:row>6</xdr:row>
      <xdr:rowOff>78922</xdr:rowOff>
    </xdr:from>
    <xdr:to>
      <xdr:col>22</xdr:col>
      <xdr:colOff>445635</xdr:colOff>
      <xdr:row>20</xdr:row>
      <xdr:rowOff>49048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LOCALIZACAO">
              <a:extLst>
                <a:ext uri="{FF2B5EF4-FFF2-40B4-BE49-F238E27FC236}">
                  <a16:creationId xmlns:a16="http://schemas.microsoft.com/office/drawing/2014/main" id="{C36B0CBC-CFAF-4BA5-BFA3-752606F954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CALIZ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06002" y="1661041"/>
              <a:ext cx="1832260" cy="26823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86746</xdr:colOff>
      <xdr:row>21</xdr:row>
      <xdr:rowOff>71608</xdr:rowOff>
    </xdr:from>
    <xdr:to>
      <xdr:col>4</xdr:col>
      <xdr:colOff>571500</xdr:colOff>
      <xdr:row>35</xdr:row>
      <xdr:rowOff>147808</xdr:rowOff>
    </xdr:to>
    <xdr:graphicFrame macro="">
      <xdr:nvGraphicFramePr>
        <xdr:cNvPr id="7" name="Gráfico 4">
          <a:extLst>
            <a:ext uri="{FF2B5EF4-FFF2-40B4-BE49-F238E27FC236}">
              <a16:creationId xmlns:a16="http://schemas.microsoft.com/office/drawing/2014/main" id="{CBAAA6A4-FA90-DE76-091B-F3E487175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881371</xdr:colOff>
      <xdr:row>21</xdr:row>
      <xdr:rowOff>49495</xdr:rowOff>
    </xdr:from>
    <xdr:to>
      <xdr:col>8</xdr:col>
      <xdr:colOff>394607</xdr:colOff>
      <xdr:row>36</xdr:row>
      <xdr:rowOff>13606</xdr:rowOff>
    </xdr:to>
    <xdr:graphicFrame macro="">
      <xdr:nvGraphicFramePr>
        <xdr:cNvPr id="8" name="Gráfico 5">
          <a:extLst>
            <a:ext uri="{FF2B5EF4-FFF2-40B4-BE49-F238E27FC236}">
              <a16:creationId xmlns:a16="http://schemas.microsoft.com/office/drawing/2014/main" id="{A74B47A4-DE84-6BE8-68E7-AFF83DC4E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153458</xdr:colOff>
      <xdr:row>21</xdr:row>
      <xdr:rowOff>3704</xdr:rowOff>
    </xdr:from>
    <xdr:to>
      <xdr:col>18</xdr:col>
      <xdr:colOff>247650</xdr:colOff>
      <xdr:row>36</xdr:row>
      <xdr:rowOff>38100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1D91B629-4C47-4963-17B9-E9C12613C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37</xdr:row>
      <xdr:rowOff>188384</xdr:rowOff>
    </xdr:from>
    <xdr:to>
      <xdr:col>4</xdr:col>
      <xdr:colOff>609600</xdr:colOff>
      <xdr:row>52</xdr:row>
      <xdr:rowOff>74084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17E44329-F2D6-EADF-9ADA-B7C6BCFAA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152400</xdr:colOff>
      <xdr:row>5</xdr:row>
      <xdr:rowOff>159279</xdr:rowOff>
    </xdr:from>
    <xdr:to>
      <xdr:col>18</xdr:col>
      <xdr:colOff>266699</xdr:colOff>
      <xdr:row>20</xdr:row>
      <xdr:rowOff>44979</xdr:rowOff>
    </xdr:to>
    <xdr:graphicFrame macro="">
      <xdr:nvGraphicFramePr>
        <xdr:cNvPr id="9" name="Gráfico 3">
          <a:extLst>
            <a:ext uri="{FF2B5EF4-FFF2-40B4-BE49-F238E27FC236}">
              <a16:creationId xmlns:a16="http://schemas.microsoft.com/office/drawing/2014/main" id="{6471535C-A041-3ADC-153D-93A9CF1DF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899584</xdr:colOff>
      <xdr:row>38</xdr:row>
      <xdr:rowOff>19051</xdr:rowOff>
    </xdr:from>
    <xdr:to>
      <xdr:col>8</xdr:col>
      <xdr:colOff>419100</xdr:colOff>
      <xdr:row>52</xdr:row>
      <xdr:rowOff>95251</xdr:rowOff>
    </xdr:to>
    <xdr:graphicFrame macro="">
      <xdr:nvGraphicFramePr>
        <xdr:cNvPr id="10" name="Gráfico 6">
          <a:extLst>
            <a:ext uri="{FF2B5EF4-FFF2-40B4-BE49-F238E27FC236}">
              <a16:creationId xmlns:a16="http://schemas.microsoft.com/office/drawing/2014/main" id="{FDCEE031-CAC9-997A-B19F-6D688B2D6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116416</xdr:colOff>
      <xdr:row>37</xdr:row>
      <xdr:rowOff>165628</xdr:rowOff>
    </xdr:from>
    <xdr:to>
      <xdr:col>18</xdr:col>
      <xdr:colOff>285748</xdr:colOff>
      <xdr:row>52</xdr:row>
      <xdr:rowOff>142873</xdr:rowOff>
    </xdr:to>
    <xdr:graphicFrame macro="">
      <xdr:nvGraphicFramePr>
        <xdr:cNvPr id="11" name="Gráfico 7">
          <a:extLst>
            <a:ext uri="{FF2B5EF4-FFF2-40B4-BE49-F238E27FC236}">
              <a16:creationId xmlns:a16="http://schemas.microsoft.com/office/drawing/2014/main" id="{FAB8398F-5CC8-3969-C864-DA79C9CD1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19</xdr:col>
      <xdr:colOff>499198</xdr:colOff>
      <xdr:row>21</xdr:row>
      <xdr:rowOff>84180</xdr:rowOff>
    </xdr:from>
    <xdr:to>
      <xdr:col>22</xdr:col>
      <xdr:colOff>470623</xdr:colOff>
      <xdr:row>35</xdr:row>
      <xdr:rowOff>60817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DEPENDENCIA">
              <a:extLst>
                <a:ext uri="{FF2B5EF4-FFF2-40B4-BE49-F238E27FC236}">
                  <a16:creationId xmlns:a16="http://schemas.microsoft.com/office/drawing/2014/main" id="{EB19D9FB-02AD-429A-BC77-1FFC94870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END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451401" y="4572231"/>
              <a:ext cx="1811849" cy="2688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" refreshedDate="46299.941714583336" createdVersion="8" refreshedVersion="8" minRefreshableVersion="3" recordCount="143" xr:uid="{58269DFA-0808-43F3-9549-4657869081CD}">
  <cacheSource type="worksheet">
    <worksheetSource name="DadosTratados"/>
  </cacheSource>
  <cacheFields count="68">
    <cacheField name="NO_REGIAO" numFmtId="0">
      <sharedItems/>
    </cacheField>
    <cacheField name="NO_UF" numFmtId="0">
      <sharedItems/>
    </cacheField>
    <cacheField name="SG_UF" numFmtId="0">
      <sharedItems/>
    </cacheField>
    <cacheField name="CO_UF" numFmtId="0">
      <sharedItems containsSemiMixedTypes="0" containsString="0" containsNumber="1" containsInteger="1" minValue="35" maxValue="35"/>
    </cacheField>
    <cacheField name="NO_MUNICIPIO" numFmtId="0">
      <sharedItems/>
    </cacheField>
    <cacheField name="CO_MUNICIPIO" numFmtId="0">
      <sharedItems containsSemiMixedTypes="0" containsString="0" containsNumber="1" containsInteger="1" minValue="3543907" maxValue="3543907"/>
    </cacheField>
    <cacheField name="NO_ENTIDADE" numFmtId="0">
      <sharedItems/>
    </cacheField>
    <cacheField name="CO_ENTIDADE" numFmtId="0">
      <sharedItems containsSemiMixedTypes="0" containsString="0" containsNumber="1" containsInteger="1" minValue="35004193" maxValue="35921944"/>
    </cacheField>
    <cacheField name="TP_DEPENDENCIA" numFmtId="0">
      <sharedItems containsSemiMixedTypes="0" containsString="0" containsNumber="1" containsInteger="1" minValue="2" maxValue="4"/>
    </cacheField>
    <cacheField name="TP_LOCALIZACAO" numFmtId="0">
      <sharedItems containsSemiMixedTypes="0" containsString="0" containsNumber="1" containsInteger="1" minValue="1" maxValue="2"/>
    </cacheField>
    <cacheField name="TP_LOCALIZACAO_DIFERENCIADA" numFmtId="0">
      <sharedItems containsString="0" containsBlank="1" containsNumber="1" containsInteger="1" minValue="0" maxValue="0"/>
    </cacheField>
    <cacheField name="DS_ENDERECO" numFmtId="0">
      <sharedItems/>
    </cacheField>
    <cacheField name="NU_ENDERECO" numFmtId="0">
      <sharedItems containsBlank="1"/>
    </cacheField>
    <cacheField name="DS_COMPLEMENTO" numFmtId="0">
      <sharedItems containsBlank="1"/>
    </cacheField>
    <cacheField name="NO_BAIRRO" numFmtId="0">
      <sharedItems/>
    </cacheField>
    <cacheField name="CO_CEP" numFmtId="0">
      <sharedItems containsSemiMixedTypes="0" containsString="0" containsNumber="1" containsInteger="1" minValue="13500030" maxValue="13509666"/>
    </cacheField>
    <cacheField name="TP_SITUACAO_FUNCIONAMENTO" numFmtId="0">
      <sharedItems containsSemiMixedTypes="0" containsString="0" containsNumber="1" containsInteger="1" minValue="1" maxValue="3"/>
    </cacheField>
    <cacheField name="IN_AGUA_POTAVEL" numFmtId="0">
      <sharedItems containsString="0" containsBlank="1" containsNumber="1" containsInteger="1" minValue="0" maxValue="1"/>
    </cacheField>
    <cacheField name="IN_AGUA_REDE_PUBLICA" numFmtId="0">
      <sharedItems containsString="0" containsBlank="1" containsNumber="1" containsInteger="1" minValue="1" maxValue="1"/>
    </cacheField>
    <cacheField name="IN_AGUA_POCO_ARTESIANO" numFmtId="0">
      <sharedItems containsString="0" containsBlank="1" containsNumber="1" containsInteger="1" minValue="0" maxValue="1"/>
    </cacheField>
    <cacheField name="IN_AGUA_CACIMBA" numFmtId="0">
      <sharedItems containsString="0" containsBlank="1" containsNumber="1" containsInteger="1" minValue="0" maxValue="0"/>
    </cacheField>
    <cacheField name="IN_AGUA_FONTE_RIO" numFmtId="0">
      <sharedItems containsString="0" containsBlank="1" containsNumber="1" containsInteger="1" minValue="0" maxValue="0"/>
    </cacheField>
    <cacheField name="IN_AGUA_INEXISTENTE" numFmtId="0">
      <sharedItems containsString="0" containsBlank="1" containsNumber="1" containsInteger="1" minValue="0" maxValue="0"/>
    </cacheField>
    <cacheField name="IN_AGUA_CARRO_PIPA" numFmtId="0">
      <sharedItems containsString="0" containsBlank="1" containsNumber="1" containsInteger="1" minValue="0" maxValue="0"/>
    </cacheField>
    <cacheField name="IN_ENERGIA_REDE_PUBLICA" numFmtId="0">
      <sharedItems containsString="0" containsBlank="1" containsNumber="1" containsInteger="1" minValue="1" maxValue="1"/>
    </cacheField>
    <cacheField name="IN_ENERGIA_GERADOR_FOSSIL" numFmtId="0">
      <sharedItems containsString="0" containsBlank="1" containsNumber="1" containsInteger="1" minValue="0" maxValue="0"/>
    </cacheField>
    <cacheField name="IN_ENERGIA_RENOVAVEL" numFmtId="0">
      <sharedItems containsString="0" containsBlank="1" containsNumber="1" containsInteger="1" minValue="0" maxValue="1"/>
    </cacheField>
    <cacheField name="IN_ENERGIA_INEXISTENTE" numFmtId="0">
      <sharedItems containsString="0" containsBlank="1" containsNumber="1" containsInteger="1" minValue="0" maxValue="0"/>
    </cacheField>
    <cacheField name="IN_ESGOTO_REDE_PUBLICA" numFmtId="0">
      <sharedItems containsString="0" containsBlank="1" containsNumber="1" containsInteger="1" minValue="0" maxValue="1"/>
    </cacheField>
    <cacheField name="IN_ESGOTO_FOSSA_SEPTICA" numFmtId="0">
      <sharedItems containsString="0" containsBlank="1" containsNumber="1" containsInteger="1" minValue="0" maxValue="1"/>
    </cacheField>
    <cacheField name="IN_ESGOTO_FOSSA_COMUM" numFmtId="0">
      <sharedItems containsString="0" containsBlank="1" containsNumber="1" containsInteger="1" minValue="0" maxValue="0"/>
    </cacheField>
    <cacheField name="IN_ESGOTO_FOSSA" numFmtId="0">
      <sharedItems containsString="0" containsBlank="1" containsNumber="1" containsInteger="1" minValue="0" maxValue="1"/>
    </cacheField>
    <cacheField name="IN_ESGOTO_INEXISTENTE" numFmtId="0">
      <sharedItems containsString="0" containsBlank="1" containsNumber="1" containsInteger="1" minValue="0" maxValue="0"/>
    </cacheField>
    <cacheField name="IN_LIXO_SERVICO_COLETA" numFmtId="0">
      <sharedItems containsString="0" containsBlank="1" containsNumber="1" containsInteger="1" minValue="0" maxValue="1"/>
    </cacheField>
    <cacheField name="IN_LIXO_QUEIMA" numFmtId="0">
      <sharedItems containsString="0" containsBlank="1" containsNumber="1" containsInteger="1" minValue="0" maxValue="0"/>
    </cacheField>
    <cacheField name="IN_LIXO_ENTERRA" numFmtId="0">
      <sharedItems containsString="0" containsBlank="1" containsNumber="1" containsInteger="1" minValue="0" maxValue="0"/>
    </cacheField>
    <cacheField name="IN_LIXO_DESTINO_FINAL_PUBLICO" numFmtId="0">
      <sharedItems containsString="0" containsBlank="1" containsNumber="1" containsInteger="1" minValue="0" maxValue="1"/>
    </cacheField>
    <cacheField name="IN_LIXO_DESCARTA_OUTRA_AREA" numFmtId="0">
      <sharedItems containsString="0" containsBlank="1" containsNumber="1" containsInteger="1" minValue="0" maxValue="1"/>
    </cacheField>
    <cacheField name="QT_MAT_BAS" numFmtId="0">
      <sharedItems containsString="0" containsBlank="1" containsNumber="1" containsInteger="1" minValue="16" maxValue="1328"/>
    </cacheField>
    <cacheField name="QT_MAT_INF" numFmtId="0">
      <sharedItems containsString="0" containsBlank="1" containsNumber="1" containsInteger="1" minValue="0" maxValue="439"/>
    </cacheField>
    <cacheField name="QT_MAT_FUND" numFmtId="0">
      <sharedItems containsString="0" containsBlank="1" containsNumber="1" containsInteger="1" minValue="0" maxValue="681"/>
    </cacheField>
    <cacheField name="QT_MAT_MED" numFmtId="0">
      <sharedItems containsString="0" containsBlank="1" containsNumber="1" containsInteger="1" minValue="0" maxValue="871"/>
    </cacheField>
    <cacheField name="QT_MAT_PROF" numFmtId="0">
      <sharedItems containsString="0" containsBlank="1" containsNumber="1" containsInteger="1" minValue="0" maxValue="977"/>
    </cacheField>
    <cacheField name="QT_MAT_EJA" numFmtId="0">
      <sharedItems containsString="0" containsBlank="1" containsNumber="1" containsInteger="1" minValue="0" maxValue="160"/>
    </cacheField>
    <cacheField name="QT_MAT_ESP" numFmtId="0">
      <sharedItems containsString="0" containsBlank="1" containsNumber="1" containsInteger="1" minValue="0" maxValue="210"/>
    </cacheField>
    <cacheField name="QT_MAT_BAS_FEM" numFmtId="0">
      <sharedItems containsString="0" containsBlank="1" containsNumber="1" containsInteger="1" minValue="0" maxValue="618"/>
    </cacheField>
    <cacheField name="QT_MAT_BAS_MASC" numFmtId="0">
      <sharedItems containsString="0" containsBlank="1" containsNumber="1" containsInteger="1" minValue="0" maxValue="722"/>
    </cacheField>
    <cacheField name="QT_MAT_BAS_ND" numFmtId="0">
      <sharedItems containsString="0" containsBlank="1" containsNumber="1" containsInteger="1" minValue="0" maxValue="193"/>
    </cacheField>
    <cacheField name="QT_MAT_BAS_BRANCA" numFmtId="0">
      <sharedItems containsString="0" containsBlank="1" containsNumber="1" containsInteger="1" minValue="10" maxValue="905"/>
    </cacheField>
    <cacheField name="QT_MAT_BAS_PRETA" numFmtId="0">
      <sharedItems containsString="0" containsBlank="1" containsNumber="1" containsInteger="1" minValue="0" maxValue="78"/>
    </cacheField>
    <cacheField name="QT_MAT_BAS_PARDA" numFmtId="0">
      <sharedItems containsString="0" containsBlank="1" containsNumber="1" containsInteger="1" minValue="0" maxValue="410"/>
    </cacheField>
    <cacheField name="QT_MAT_BAS_AMARELA" numFmtId="0">
      <sharedItems containsString="0" containsBlank="1" containsNumber="1" containsInteger="1" minValue="0" maxValue="5"/>
    </cacheField>
    <cacheField name="QT_MAT_BAS_INDIGENA" numFmtId="0">
      <sharedItems containsString="0" containsBlank="1" containsNumber="1" containsInteger="1" minValue="0" maxValue="2"/>
    </cacheField>
    <cacheField name="QT_MAT_BAS_0_3" numFmtId="0">
      <sharedItems containsString="0" containsBlank="1" containsNumber="1" containsInteger="1" minValue="0" maxValue="204"/>
    </cacheField>
    <cacheField name="QT_MAT_BAS_4_5" numFmtId="0">
      <sharedItems containsString="0" containsBlank="1" containsNumber="1" containsInteger="1" minValue="0" maxValue="307"/>
    </cacheField>
    <cacheField name="QT_MAT_BAS_6_10" numFmtId="0">
      <sharedItems containsString="0" containsBlank="1" containsNumber="1" containsInteger="1" minValue="0" maxValue="600"/>
    </cacheField>
    <cacheField name="QT_MAT_BAS_11_14" numFmtId="0">
      <sharedItems containsString="0" containsBlank="1" containsNumber="1" containsInteger="1" minValue="0" maxValue="625"/>
    </cacheField>
    <cacheField name="QT_MAT_BAS_15_17" numFmtId="0">
      <sharedItems containsString="0" containsBlank="1" containsNumber="1" containsInteger="1" minValue="0" maxValue="781"/>
    </cacheField>
    <cacheField name="QT_MAT_BAS_18_MAIS" numFmtId="0">
      <sharedItems containsString="0" containsBlank="1" containsNumber="1" containsInteger="1" minValue="0" maxValue="554"/>
    </cacheField>
    <cacheField name="DEPENDENCIA" numFmtId="0">
      <sharedItems containsBlank="1" count="5">
        <s v="Privada"/>
        <s v="Estadual"/>
        <s v="Municipal"/>
        <s v="Federal" u="1"/>
        <m u="1"/>
      </sharedItems>
    </cacheField>
    <cacheField name="LOCALIZACAO" numFmtId="0">
      <sharedItems containsBlank="1" count="3">
        <s v="Urbana"/>
        <s v="Rural"/>
        <m u="1"/>
      </sharedItems>
    </cacheField>
    <cacheField name="LOC_DIFERENCIADA" numFmtId="0">
      <sharedItems containsBlank="1"/>
    </cacheField>
    <cacheField name="SITUACAO" numFmtId="0">
      <sharedItems count="2">
        <s v="Ativa"/>
        <s v="Inativa"/>
      </sharedItems>
    </cacheField>
    <cacheField name="TAMANHO_ESCOLA" numFmtId="0">
      <sharedItems containsBlank="1" count="7">
        <s v="Grande"/>
        <s v="Pequena"/>
        <s v="Microescola"/>
        <s v="Média"/>
        <s v="Não informado"/>
        <s v="Muito Grande"/>
        <m u="1"/>
      </sharedItems>
    </cacheField>
    <cacheField name="AGUA" numFmtId="0">
      <sharedItems containsBlank="1" count="7">
        <s v="Rede pública"/>
        <s v="Não informado"/>
        <s v="Poço artesiano" u="1"/>
        <s v="Carro-pipa" u="1"/>
        <s v="Inexistente" u="1"/>
        <s v="Cacimba" u="1"/>
        <m u="1"/>
      </sharedItems>
    </cacheField>
    <cacheField name="ENERGIA" numFmtId="0">
      <sharedItems containsBlank="1" count="6">
        <s v="Rede pública"/>
        <s v="Não informado"/>
        <s v="Renovável" u="1"/>
        <s v="Inexistente" u="1"/>
        <s v="Gerador fóssil" u="1"/>
        <m u="1"/>
      </sharedItems>
    </cacheField>
    <cacheField name="ESGOTO" numFmtId="0">
      <sharedItems containsBlank="1" count="6">
        <s v="Rede pública"/>
        <s v="Fossa séptica"/>
        <s v="Não informado"/>
        <s v="Fossa comum" u="1"/>
        <s v="Inexistente" u="1"/>
        <m u="1"/>
      </sharedItems>
    </cacheField>
    <cacheField name="LIXO" numFmtId="0">
      <sharedItems containsBlank="1" count="7">
        <s v="Serviço de coleta"/>
        <s v="Não informado"/>
        <s v="Descarte em outra área"/>
        <s v="Destino final público" u="1"/>
        <s v="Enterra" u="1"/>
        <s v="Queima" u="1"/>
        <m u="1"/>
      </sharedItems>
    </cacheField>
  </cacheFields>
  <extLst>
    <ext xmlns:x14="http://schemas.microsoft.com/office/spreadsheetml/2009/9/main" uri="{725AE2AE-9491-48be-B2B4-4EB974FC3084}">
      <x14:pivotCacheDefinition pivotCacheId="2819997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Sudeste"/>
    <s v="São Paulo"/>
    <s v="SP"/>
    <n v="35"/>
    <s v="Rio Claro"/>
    <n v="3543907"/>
    <s v="COLEGIO DOM BOSCO RIO CLARO"/>
    <n v="35004193"/>
    <n v="4"/>
    <n v="1"/>
    <n v="0"/>
    <s v="9"/>
    <s v="1742"/>
    <m/>
    <s v="CENTRO"/>
    <n v="135002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50"/>
    <n v="106"/>
    <n v="527"/>
    <n v="117"/>
    <n v="0"/>
    <n v="0"/>
    <n v="17"/>
    <n v="382"/>
    <n v="368"/>
    <n v="42"/>
    <n v="678"/>
    <n v="8"/>
    <n v="22"/>
    <n v="0"/>
    <n v="0"/>
    <n v="38"/>
    <n v="59"/>
    <n v="260"/>
    <n v="268"/>
    <n v="123"/>
    <n v="2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ESCOLA DA BISA EDUCACAO INFANTIL E FUNDAMENTAL"/>
    <n v="35004940"/>
    <n v="4"/>
    <n v="1"/>
    <n v="0"/>
    <s v="12"/>
    <s v="1931"/>
    <m/>
    <s v="CENTRO"/>
    <n v="135002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86"/>
    <n v="54"/>
    <n v="132"/>
    <n v="0"/>
    <n v="0"/>
    <n v="0"/>
    <n v="3"/>
    <n v="80"/>
    <n v="106"/>
    <n v="30"/>
    <n v="141"/>
    <n v="1"/>
    <n v="12"/>
    <n v="2"/>
    <n v="0"/>
    <n v="0"/>
    <n v="52"/>
    <n v="133"/>
    <n v="1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CENTRO DE CONVIVENCIA INFANTIL UNESPINHA"/>
    <n v="35005166"/>
    <n v="2"/>
    <n v="1"/>
    <n v="0"/>
    <s v="16 B"/>
    <s v="1347"/>
    <m/>
    <s v="VILA BELA VISTA"/>
    <n v="13506752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18"/>
    <n v="18"/>
    <n v="0"/>
    <n v="0"/>
    <n v="0"/>
    <n v="0"/>
    <n v="0"/>
    <n v="7"/>
    <n v="11"/>
    <n v="0"/>
    <n v="18"/>
    <n v="0"/>
    <n v="0"/>
    <n v="0"/>
    <n v="0"/>
    <n v="18"/>
    <n v="0"/>
    <n v="0"/>
    <n v="0"/>
    <n v="0"/>
    <n v="0"/>
    <x v="1"/>
    <x v="0"/>
    <s v="Não"/>
    <x v="0"/>
    <x v="2"/>
    <x v="0"/>
    <x v="0"/>
    <x v="1"/>
    <x v="0"/>
  </r>
  <r>
    <s v="Sudeste"/>
    <s v="São Paulo"/>
    <s v="SP"/>
    <n v="35"/>
    <s v="Rio Claro"/>
    <n v="3543907"/>
    <s v="ESCOLA MUNICIPAL PROFESSORA MARILDA DOS SANTOS SOUZA"/>
    <n v="35005006"/>
    <n v="3"/>
    <n v="1"/>
    <n v="0"/>
    <s v="AVENIDA 01 SM"/>
    <s v="41"/>
    <m/>
    <s v="JARDIM RESIDENCIAL SAN MARINO"/>
    <n v="1350371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1"/>
    <n v="151"/>
    <n v="0"/>
    <n v="0"/>
    <n v="0"/>
    <n v="0"/>
    <n v="6"/>
    <n v="82"/>
    <n v="69"/>
    <n v="4"/>
    <n v="106"/>
    <n v="10"/>
    <n v="31"/>
    <n v="0"/>
    <n v="0"/>
    <n v="103"/>
    <n v="44"/>
    <n v="4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ESCOLA MUNICIPAL PROFESSORA RUTINEIA PAULINO DE SOUZA FERREIRA DA SILVA"/>
    <n v="35005440"/>
    <n v="3"/>
    <n v="1"/>
    <n v="0"/>
    <s v="1 JN"/>
    <s v="1056"/>
    <m/>
    <s v="JARDIM NOVO 1"/>
    <n v="135027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24"/>
    <n v="124"/>
    <n v="0"/>
    <n v="0"/>
    <n v="0"/>
    <n v="0"/>
    <n v="3"/>
    <n v="57"/>
    <n v="67"/>
    <n v="6"/>
    <n v="64"/>
    <n v="8"/>
    <n v="46"/>
    <n v="0"/>
    <n v="0"/>
    <n v="118"/>
    <n v="6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ESCOLA MUNICIPAL PROFESSOR OCTAVIO JOSE CHIOSSI"/>
    <n v="35005971"/>
    <n v="3"/>
    <n v="1"/>
    <n v="0"/>
    <s v="5 JN"/>
    <s v="1129"/>
    <m/>
    <s v="JARDIM NOVO"/>
    <n v="135027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11"/>
    <n v="0"/>
    <n v="396"/>
    <n v="0"/>
    <n v="0"/>
    <n v="15"/>
    <n v="13"/>
    <n v="204"/>
    <n v="207"/>
    <n v="43"/>
    <n v="214"/>
    <n v="9"/>
    <n v="145"/>
    <n v="0"/>
    <n v="0"/>
    <n v="0"/>
    <n v="0"/>
    <n v="379"/>
    <n v="17"/>
    <n v="0"/>
    <n v="15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ESCOLA MUNICIPAL PROFESSORA GISELE BRIZOTTI FERRAZ FERREIRA"/>
    <n v="35006329"/>
    <n v="3"/>
    <n v="1"/>
    <n v="0"/>
    <s v="AVENIDA BRASIL"/>
    <s v="1233"/>
    <m/>
    <s v="JARDIM FLORIDIANA"/>
    <n v="1350501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3"/>
    <n v="73"/>
    <n v="0"/>
    <n v="0"/>
    <n v="0"/>
    <n v="0"/>
    <n v="2"/>
    <n v="34"/>
    <n v="39"/>
    <n v="27"/>
    <n v="38"/>
    <n v="3"/>
    <n v="5"/>
    <n v="0"/>
    <n v="0"/>
    <n v="73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COLEGIO DAGAMA"/>
    <n v="35007056"/>
    <n v="4"/>
    <n v="1"/>
    <n v="0"/>
    <s v="22 BE"/>
    <s v="669"/>
    <m/>
    <s v="ESTADIO"/>
    <n v="1350138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21"/>
    <n v="55"/>
    <n v="266"/>
    <n v="0"/>
    <n v="0"/>
    <n v="0"/>
    <n v="5"/>
    <n v="146"/>
    <n v="175"/>
    <n v="14"/>
    <n v="281"/>
    <n v="8"/>
    <n v="18"/>
    <n v="0"/>
    <n v="0"/>
    <n v="8"/>
    <n v="37"/>
    <n v="162"/>
    <n v="111"/>
    <n v="3"/>
    <n v="0"/>
    <x v="0"/>
    <x v="0"/>
    <s v="Não"/>
    <x v="0"/>
    <x v="3"/>
    <x v="0"/>
    <x v="0"/>
    <x v="0"/>
    <x v="0"/>
  </r>
  <r>
    <s v="Sudeste"/>
    <s v="São Paulo"/>
    <s v="SP"/>
    <n v="35"/>
    <s v="Rio Claro"/>
    <n v="3543907"/>
    <s v="ESCOLA MUNICIPAL DR DJALMA OUTEIRO PINTO"/>
    <n v="35007338"/>
    <n v="3"/>
    <n v="1"/>
    <n v="0"/>
    <s v="8"/>
    <s v="3609"/>
    <m/>
    <s v="ALTO DO SANTANA"/>
    <n v="1350418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4"/>
    <n v="44"/>
    <n v="0"/>
    <n v="0"/>
    <n v="0"/>
    <n v="0"/>
    <n v="0"/>
    <n v="27"/>
    <n v="17"/>
    <n v="6"/>
    <n v="32"/>
    <n v="1"/>
    <n v="5"/>
    <n v="0"/>
    <n v="0"/>
    <n v="44"/>
    <n v="0"/>
    <n v="0"/>
    <n v="0"/>
    <n v="0"/>
    <n v="0"/>
    <x v="2"/>
    <x v="0"/>
    <s v="Não"/>
    <x v="0"/>
    <x v="2"/>
    <x v="0"/>
    <x v="0"/>
    <x v="0"/>
    <x v="0"/>
  </r>
  <r>
    <s v="Sudeste"/>
    <s v="São Paulo"/>
    <s v="SP"/>
    <n v="35"/>
    <s v="Rio Claro"/>
    <n v="3543907"/>
    <s v="ESCOLA MUNICIPAL PROFESSORA LUCIA HELENA FERREIRA CAMARGO"/>
    <n v="35007339"/>
    <n v="3"/>
    <n v="1"/>
    <n v="0"/>
    <s v="5"/>
    <s v="360"/>
    <m/>
    <s v="JARDIM ARAUCARIA"/>
    <n v="1350482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6"/>
    <n v="116"/>
    <n v="0"/>
    <n v="0"/>
    <n v="0"/>
    <n v="0"/>
    <n v="2"/>
    <n v="70"/>
    <n v="46"/>
    <n v="3"/>
    <n v="69"/>
    <n v="4"/>
    <n v="40"/>
    <n v="0"/>
    <n v="0"/>
    <n v="113"/>
    <n v="3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ESCOLA MUNICIPAL THEODORO PAULO KOELLE"/>
    <n v="35007528"/>
    <n v="3"/>
    <n v="1"/>
    <n v="0"/>
    <s v="17 JN"/>
    <s v="1433"/>
    <m/>
    <s v="JARDIM NOVO II"/>
    <n v="1350271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17"/>
    <n v="0"/>
    <n v="217"/>
    <n v="0"/>
    <n v="0"/>
    <n v="0"/>
    <n v="10"/>
    <n v="109"/>
    <n v="108"/>
    <n v="21"/>
    <n v="117"/>
    <n v="3"/>
    <n v="75"/>
    <n v="0"/>
    <n v="1"/>
    <n v="0"/>
    <n v="0"/>
    <n v="208"/>
    <n v="9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ESCOLA MUNICIPAL PROFESSOR GUNAR WILHELM KOELLE"/>
    <n v="35007533"/>
    <n v="3"/>
    <n v="1"/>
    <n v="0"/>
    <s v="18 JN"/>
    <s v="409"/>
    <m/>
    <s v="JARDIM NOVO"/>
    <n v="1350276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5"/>
    <n v="305"/>
    <n v="0"/>
    <n v="0"/>
    <n v="0"/>
    <n v="0"/>
    <n v="7"/>
    <n v="152"/>
    <n v="153"/>
    <n v="20"/>
    <n v="171"/>
    <n v="24"/>
    <n v="90"/>
    <n v="0"/>
    <n v="0"/>
    <n v="131"/>
    <n v="155"/>
    <n v="19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ESCOLA MAPLE BEAR RIO CLARO"/>
    <n v="35007694"/>
    <n v="4"/>
    <n v="1"/>
    <n v="0"/>
    <s v="14"/>
    <s v="360"/>
    <m/>
    <s v="CENTRO"/>
    <n v="1350047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70"/>
    <n v="99"/>
    <n v="71"/>
    <n v="0"/>
    <n v="0"/>
    <n v="0"/>
    <n v="0"/>
    <n v="109"/>
    <n v="61"/>
    <n v="42"/>
    <n v="119"/>
    <n v="1"/>
    <n v="7"/>
    <n v="1"/>
    <n v="0"/>
    <n v="39"/>
    <n v="54"/>
    <n v="77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ESCOLA DE EDUCACAO INFANTIL MARIA PEREGRINA"/>
    <n v="35007696"/>
    <n v="4"/>
    <n v="1"/>
    <n v="0"/>
    <s v="8 JV"/>
    <s v="52"/>
    <m/>
    <s v="JARDIM VILAGE"/>
    <n v="135061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2"/>
    <n v="11"/>
    <n v="31"/>
    <n v="0"/>
    <n v="0"/>
    <n v="0"/>
    <n v="0"/>
    <n v="23"/>
    <n v="19"/>
    <n v="5"/>
    <n v="30"/>
    <n v="0"/>
    <n v="6"/>
    <n v="1"/>
    <n v="0"/>
    <n v="0"/>
    <n v="10"/>
    <n v="32"/>
    <n v="0"/>
    <n v="0"/>
    <n v="0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ESCOLA DE EDUCACAO INFANTIL PASSINHOS DE ANJOS"/>
    <n v="35008189"/>
    <n v="4"/>
    <n v="1"/>
    <n v="0"/>
    <s v="29"/>
    <s v="613"/>
    <m/>
    <s v="CIDADE JARDIM"/>
    <n v="1350110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5"/>
    <n v="104"/>
    <n v="11"/>
    <n v="0"/>
    <n v="0"/>
    <n v="0"/>
    <n v="1"/>
    <n v="55"/>
    <n v="60"/>
    <n v="3"/>
    <n v="102"/>
    <n v="0"/>
    <n v="9"/>
    <n v="0"/>
    <n v="1"/>
    <n v="54"/>
    <n v="45"/>
    <n v="16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BERCARIO E ESCOLA DE EDUCACAO INFANTIL VO CHICO"/>
    <n v="35009310"/>
    <n v="4"/>
    <n v="1"/>
    <n v="0"/>
    <s v="AVENIDA 24 A"/>
    <s v="346"/>
    <m/>
    <s v="VILA ALEMA"/>
    <n v="1350669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8"/>
    <n v="78"/>
    <n v="0"/>
    <n v="0"/>
    <n v="0"/>
    <n v="0"/>
    <n v="2"/>
    <n v="35"/>
    <n v="43"/>
    <n v="2"/>
    <n v="63"/>
    <n v="4"/>
    <n v="9"/>
    <n v="0"/>
    <n v="0"/>
    <n v="54"/>
    <n v="23"/>
    <n v="1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TRIGONO EDUCACAO INFANTIL"/>
    <n v="35009311"/>
    <n v="4"/>
    <n v="1"/>
    <n v="0"/>
    <s v="40"/>
    <s v="522"/>
    <m/>
    <s v="VILA OPERARIA"/>
    <n v="135041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5"/>
    <n v="65"/>
    <n v="0"/>
    <n v="0"/>
    <n v="0"/>
    <n v="0"/>
    <n v="0"/>
    <n v="34"/>
    <n v="31"/>
    <n v="22"/>
    <n v="42"/>
    <n v="0"/>
    <n v="1"/>
    <n v="0"/>
    <n v="0"/>
    <n v="33"/>
    <n v="31"/>
    <n v="1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COLEGIO TRIGONO COMPLEXO EDUCACIONAL"/>
    <n v="35009638"/>
    <n v="4"/>
    <n v="1"/>
    <n v="0"/>
    <s v="5 A"/>
    <s v="236"/>
    <s v="AVENIDA 5A"/>
    <s v="CIDADE NOVA"/>
    <n v="135067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0"/>
    <n v="0"/>
    <n v="40"/>
    <n v="0"/>
    <n v="0"/>
    <n v="0"/>
    <n v="1"/>
    <n v="17"/>
    <n v="23"/>
    <n v="2"/>
    <n v="35"/>
    <n v="0"/>
    <n v="3"/>
    <n v="0"/>
    <n v="0"/>
    <n v="0"/>
    <n v="0"/>
    <n v="40"/>
    <n v="0"/>
    <n v="0"/>
    <n v="0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ESCOLA MUNICIPAL PROFESSOR ALDO ZOTTARELLI JUNIOR"/>
    <n v="35009802"/>
    <n v="3"/>
    <n v="1"/>
    <n v="0"/>
    <s v="10 JC"/>
    <s v="589"/>
    <m/>
    <s v="BENJAMIN DE CASTRO"/>
    <n v="1350350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57"/>
    <n v="0"/>
    <n v="357"/>
    <n v="0"/>
    <n v="0"/>
    <n v="0"/>
    <n v="13"/>
    <n v="165"/>
    <n v="192"/>
    <n v="23"/>
    <n v="197"/>
    <n v="20"/>
    <n v="117"/>
    <n v="0"/>
    <n v="0"/>
    <n v="0"/>
    <n v="0"/>
    <n v="336"/>
    <n v="20"/>
    <n v="1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ESCOLA MUNICIPAL PROFESSORA EDNA CRISTINA FARDIM FERNANDES"/>
    <n v="35009863"/>
    <n v="3"/>
    <n v="1"/>
    <n v="0"/>
    <s v="P 27"/>
    <s v="123"/>
    <m/>
    <s v="VILA PAULISTA"/>
    <n v="1350683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4"/>
    <n v="74"/>
    <n v="0"/>
    <n v="0"/>
    <n v="0"/>
    <n v="0"/>
    <n v="1"/>
    <n v="45"/>
    <n v="29"/>
    <n v="13"/>
    <n v="45"/>
    <n v="5"/>
    <n v="10"/>
    <n v="1"/>
    <n v="0"/>
    <n v="72"/>
    <n v="2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ESCOLA MUNICIPAL DO RESIDENCIAL DOS BOSQUES"/>
    <n v="35010574"/>
    <n v="3"/>
    <n v="1"/>
    <n v="0"/>
    <s v="RUA 3 VLA"/>
    <s v="529"/>
    <m/>
    <s v="VILA ANHANGUERA"/>
    <n v="13503532"/>
    <n v="1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3"/>
    <n v="63"/>
    <n v="0"/>
    <n v="0"/>
    <n v="0"/>
    <n v="0"/>
    <n v="0"/>
    <n v="31"/>
    <n v="32"/>
    <n v="4"/>
    <n v="38"/>
    <n v="7"/>
    <n v="14"/>
    <n v="0"/>
    <n v="0"/>
    <n v="62"/>
    <n v="1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SEST SENAT RIO CLARO"/>
    <n v="35010818"/>
    <n v="4"/>
    <n v="1"/>
    <n v="0"/>
    <s v="RODOVIA WASHINGTON LUIZ"/>
    <s v="176"/>
    <m/>
    <s v="JARDIM RIO CLARO"/>
    <n v="135037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4"/>
    <n v="0"/>
    <n v="0"/>
    <n v="0"/>
    <n v="44"/>
    <n v="0"/>
    <n v="0"/>
    <n v="13"/>
    <n v="31"/>
    <n v="25"/>
    <n v="12"/>
    <n v="1"/>
    <n v="5"/>
    <n v="1"/>
    <n v="0"/>
    <n v="0"/>
    <n v="0"/>
    <n v="0"/>
    <n v="0"/>
    <n v="0"/>
    <n v="44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CAROLINA AUGUSTA SERAPHIM PROFESSORA"/>
    <n v="35021556"/>
    <n v="2"/>
    <n v="1"/>
    <n v="0"/>
    <s v="CINCO B"/>
    <s v="1191"/>
    <s v="RUA"/>
    <s v="VILA INDAIA"/>
    <n v="1350673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87"/>
    <n v="0"/>
    <n v="287"/>
    <n v="0"/>
    <n v="0"/>
    <n v="0"/>
    <n v="8"/>
    <n v="135"/>
    <n v="152"/>
    <n v="1"/>
    <n v="216"/>
    <n v="17"/>
    <n v="53"/>
    <n v="0"/>
    <n v="0"/>
    <n v="0"/>
    <n v="0"/>
    <n v="0"/>
    <n v="276"/>
    <n v="11"/>
    <n v="0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MONSENHOR MARTINS"/>
    <n v="35021568"/>
    <n v="2"/>
    <n v="1"/>
    <m/>
    <s v="AV 36"/>
    <s v="717"/>
    <s v="AVENIDA"/>
    <s v="VL OPERARIA"/>
    <n v="1350412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JOAQUIM SALLES CORONEL"/>
    <n v="35021573"/>
    <n v="2"/>
    <n v="1"/>
    <n v="0"/>
    <s v="SETE"/>
    <s v="793"/>
    <s v="RUA"/>
    <s v="CENTRO"/>
    <n v="135001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89"/>
    <n v="0"/>
    <n v="389"/>
    <n v="0"/>
    <n v="0"/>
    <n v="0"/>
    <n v="15"/>
    <n v="195"/>
    <n v="194"/>
    <n v="7"/>
    <n v="290"/>
    <n v="19"/>
    <n v="72"/>
    <n v="1"/>
    <n v="0"/>
    <n v="0"/>
    <n v="0"/>
    <n v="0"/>
    <n v="372"/>
    <n v="17"/>
    <n v="0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DJILIAH CAMARGO DE SOUZA PROFA"/>
    <n v="35021593"/>
    <n v="2"/>
    <n v="1"/>
    <m/>
    <s v="R 4A"/>
    <s v="1098"/>
    <m/>
    <s v="JARDIM IPE"/>
    <n v="1350654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JOAQUIM RIBEIRO"/>
    <n v="35021611"/>
    <n v="2"/>
    <n v="1"/>
    <n v="0"/>
    <s v="SEIS"/>
    <s v="437"/>
    <s v="RUA"/>
    <s v="CENTRO"/>
    <n v="135000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87"/>
    <n v="0"/>
    <n v="0"/>
    <n v="250"/>
    <n v="32"/>
    <n v="137"/>
    <n v="21"/>
    <n v="225"/>
    <n v="162"/>
    <n v="40"/>
    <n v="244"/>
    <n v="10"/>
    <n v="91"/>
    <n v="1"/>
    <n v="1"/>
    <n v="0"/>
    <n v="0"/>
    <n v="0"/>
    <n v="0"/>
    <n v="237"/>
    <n v="150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MARCELLO SCHMIDT"/>
    <n v="35021660"/>
    <n v="2"/>
    <n v="1"/>
    <m/>
    <s v="AV 1"/>
    <s v="356"/>
    <m/>
    <s v="CENTRO"/>
    <n v="1350040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MARCIANO DE TOLEDO PIZA PROFESSOR"/>
    <n v="35021696"/>
    <n v="2"/>
    <n v="1"/>
    <n v="0"/>
    <s v="NAVARRO DE ANDRADE"/>
    <s v="139"/>
    <s v="AVENIDA"/>
    <s v="CIDADE NOVA"/>
    <n v="135068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5"/>
    <n v="0"/>
    <n v="0"/>
    <n v="305"/>
    <n v="0"/>
    <n v="0"/>
    <n v="4"/>
    <n v="176"/>
    <n v="129"/>
    <n v="12"/>
    <n v="228"/>
    <n v="15"/>
    <n v="49"/>
    <n v="1"/>
    <n v="0"/>
    <n v="0"/>
    <n v="0"/>
    <n v="0"/>
    <n v="1"/>
    <n v="279"/>
    <n v="25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JOAO BATISTA LEME PROFESSOR"/>
    <n v="35021702"/>
    <n v="2"/>
    <n v="1"/>
    <n v="0"/>
    <s v="BRASIL"/>
    <s v="182"/>
    <s v="AVENIDA"/>
    <s v="VILA ALEMA"/>
    <n v="1350515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57"/>
    <n v="0"/>
    <n v="584"/>
    <n v="173"/>
    <n v="52"/>
    <n v="0"/>
    <n v="21"/>
    <n v="342"/>
    <n v="415"/>
    <n v="57"/>
    <n v="530"/>
    <n v="17"/>
    <n v="151"/>
    <n v="2"/>
    <n v="0"/>
    <n v="0"/>
    <n v="0"/>
    <n v="0"/>
    <n v="552"/>
    <n v="197"/>
    <n v="8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MICHEL ANTONIO ALEM PROFESSOR"/>
    <n v="35021726"/>
    <n v="2"/>
    <n v="1"/>
    <n v="0"/>
    <s v="TREZE"/>
    <s v="1858"/>
    <s v="AVENIDA"/>
    <s v="CONSOLACAO"/>
    <n v="135034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26"/>
    <n v="0"/>
    <n v="480"/>
    <n v="446"/>
    <n v="20"/>
    <n v="0"/>
    <n v="21"/>
    <n v="442"/>
    <n v="484"/>
    <n v="89"/>
    <n v="604"/>
    <n v="20"/>
    <n v="210"/>
    <n v="1"/>
    <n v="2"/>
    <n v="0"/>
    <n v="0"/>
    <n v="4"/>
    <n v="433"/>
    <n v="436"/>
    <n v="53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ODILON CORREA PROFESSOR"/>
    <n v="35021738"/>
    <n v="2"/>
    <n v="1"/>
    <n v="0"/>
    <s v="17"/>
    <s v="1726"/>
    <s v="RUA"/>
    <s v="CIDADE CLARET"/>
    <n v="1350318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43"/>
    <n v="0"/>
    <n v="534"/>
    <n v="609"/>
    <n v="0"/>
    <n v="0"/>
    <n v="32"/>
    <n v="552"/>
    <n v="591"/>
    <n v="16"/>
    <n v="727"/>
    <n v="31"/>
    <n v="369"/>
    <n v="0"/>
    <n v="0"/>
    <n v="0"/>
    <n v="0"/>
    <n v="0"/>
    <n v="489"/>
    <n v="591"/>
    <n v="63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RAUL FERNANDES CHANCELER"/>
    <n v="35021748"/>
    <n v="2"/>
    <n v="1"/>
    <n v="0"/>
    <s v="DOIS"/>
    <s v="2877"/>
    <s v="RUA"/>
    <s v="VILA OPERARIA"/>
    <n v="135040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99"/>
    <n v="0"/>
    <n v="0"/>
    <n v="299"/>
    <n v="71"/>
    <n v="0"/>
    <n v="16"/>
    <n v="171"/>
    <n v="128"/>
    <n v="6"/>
    <n v="237"/>
    <n v="10"/>
    <n v="45"/>
    <n v="1"/>
    <n v="0"/>
    <n v="0"/>
    <n v="0"/>
    <n v="0"/>
    <n v="0"/>
    <n v="280"/>
    <n v="19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BARAO DE PIRACICABA"/>
    <n v="35021787"/>
    <n v="2"/>
    <n v="1"/>
    <n v="0"/>
    <s v="OITO"/>
    <s v="2699"/>
    <s v="RUA"/>
    <s v="SANTANA"/>
    <n v="1350409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61"/>
    <n v="0"/>
    <n v="661"/>
    <n v="0"/>
    <n v="0"/>
    <n v="0"/>
    <n v="25"/>
    <n v="326"/>
    <n v="335"/>
    <n v="22"/>
    <n v="501"/>
    <n v="9"/>
    <n v="128"/>
    <n v="1"/>
    <n v="0"/>
    <n v="0"/>
    <n v="0"/>
    <n v="1"/>
    <n v="625"/>
    <n v="35"/>
    <n v="0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ETEC PROFESSOR ARMANDO BAYEUX DA SILVA"/>
    <n v="35021817"/>
    <n v="2"/>
    <n v="1"/>
    <n v="0"/>
    <s v="5"/>
    <s v="445"/>
    <s v="AVENIDA"/>
    <s v="CENTRO"/>
    <n v="135003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69"/>
    <n v="0"/>
    <n v="0"/>
    <n v="606"/>
    <n v="977"/>
    <n v="0"/>
    <n v="12"/>
    <n v="569"/>
    <n v="600"/>
    <n v="185"/>
    <n v="772"/>
    <n v="28"/>
    <n v="183"/>
    <n v="1"/>
    <n v="0"/>
    <n v="0"/>
    <n v="0"/>
    <n v="0"/>
    <n v="2"/>
    <n v="613"/>
    <n v="554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HAMILTON PRADO DEPUTADO FEDERAL"/>
    <n v="35036316"/>
    <n v="2"/>
    <n v="1"/>
    <m/>
    <s v="R 14"/>
    <s v="3896"/>
    <s v="RUA"/>
    <s v="VL OLINDA"/>
    <n v="1350416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NELSON STROILI PROFESSOR"/>
    <n v="35041661"/>
    <n v="2"/>
    <n v="1"/>
    <n v="0"/>
    <s v="M 22"/>
    <s v="951"/>
    <s v="RUA"/>
    <s v="JARDIM IPANEMA"/>
    <n v="1350531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808"/>
    <n v="0"/>
    <n v="342"/>
    <n v="466"/>
    <n v="0"/>
    <n v="0"/>
    <n v="22"/>
    <n v="365"/>
    <n v="443"/>
    <n v="21"/>
    <n v="480"/>
    <n v="18"/>
    <n v="285"/>
    <n v="3"/>
    <n v="1"/>
    <n v="0"/>
    <n v="0"/>
    <n v="1"/>
    <n v="313"/>
    <n v="449"/>
    <n v="45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JOSE CARDOSO PROFESSOR"/>
    <n v="35045895"/>
    <n v="2"/>
    <n v="1"/>
    <n v="0"/>
    <s v="9"/>
    <s v="2383"/>
    <s v="RUA"/>
    <s v="CONJUNTO HABITACIONAL ARCOIRIS CECAP"/>
    <n v="1350608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02"/>
    <n v="0"/>
    <n v="562"/>
    <n v="740"/>
    <n v="0"/>
    <n v="0"/>
    <n v="21"/>
    <n v="580"/>
    <n v="722"/>
    <n v="44"/>
    <n v="903"/>
    <n v="23"/>
    <n v="329"/>
    <n v="3"/>
    <n v="0"/>
    <n v="0"/>
    <n v="0"/>
    <n v="0"/>
    <n v="517"/>
    <n v="710"/>
    <n v="75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VICTORINO MACHADO PROF"/>
    <n v="35045901"/>
    <n v="2"/>
    <n v="1"/>
    <m/>
    <s v="AV 2"/>
    <s v="196"/>
    <s v="AVENIDA"/>
    <s v="BATOVI"/>
    <n v="13504763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DELCIO BACCARO PROFESSOR"/>
    <n v="35049967"/>
    <n v="2"/>
    <n v="1"/>
    <n v="0"/>
    <s v="1"/>
    <s v="303"/>
    <s v="COHAB"/>
    <s v="JARDIM INOCOOP"/>
    <n v="135020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99"/>
    <n v="0"/>
    <n v="511"/>
    <n v="488"/>
    <n v="77"/>
    <n v="0"/>
    <n v="12"/>
    <n v="465"/>
    <n v="534"/>
    <n v="45"/>
    <n v="552"/>
    <n v="78"/>
    <n v="322"/>
    <n v="1"/>
    <n v="1"/>
    <n v="0"/>
    <n v="0"/>
    <n v="2"/>
    <n v="472"/>
    <n v="467"/>
    <n v="58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PEDRO DOM I ESCOLA MUNICIPAL"/>
    <n v="35061396"/>
    <n v="3"/>
    <n v="1"/>
    <n v="0"/>
    <s v="3 A"/>
    <s v="775"/>
    <m/>
    <s v="VILA ALEMA"/>
    <n v="135065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39"/>
    <n v="439"/>
    <n v="0"/>
    <n v="0"/>
    <n v="0"/>
    <n v="0"/>
    <n v="16"/>
    <n v="218"/>
    <n v="221"/>
    <n v="11"/>
    <n v="379"/>
    <n v="5"/>
    <n v="44"/>
    <n v="0"/>
    <n v="0"/>
    <n v="138"/>
    <n v="267"/>
    <n v="34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BENJAMIN FERREIRA ESCOLA MUNICIPAL"/>
    <n v="35061402"/>
    <n v="3"/>
    <n v="1"/>
    <n v="0"/>
    <s v="4 B"/>
    <s v="70"/>
    <s v="RUA"/>
    <s v="CIDADE NOVA"/>
    <n v="135068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2"/>
    <n v="102"/>
    <n v="0"/>
    <n v="0"/>
    <n v="0"/>
    <n v="0"/>
    <n v="5"/>
    <n v="51"/>
    <n v="51"/>
    <n v="2"/>
    <n v="84"/>
    <n v="4"/>
    <n v="12"/>
    <n v="0"/>
    <n v="0"/>
    <n v="16"/>
    <n v="76"/>
    <n v="1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VICTORINO MACHADO PROF ESCOLA MUNICIPAL"/>
    <n v="35061414"/>
    <n v="3"/>
    <n v="1"/>
    <n v="0"/>
    <s v="M 27"/>
    <s v="1132"/>
    <s v="AVENIDA"/>
    <s v="PARQUE DAS INDUSTRIAS"/>
    <n v="1350500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65"/>
    <n v="404"/>
    <n v="316"/>
    <n v="0"/>
    <n v="0"/>
    <n v="45"/>
    <n v="26"/>
    <n v="387"/>
    <n v="378"/>
    <n v="185"/>
    <n v="364"/>
    <n v="34"/>
    <n v="181"/>
    <n v="1"/>
    <n v="0"/>
    <n v="75"/>
    <n v="299"/>
    <n v="336"/>
    <n v="10"/>
    <n v="0"/>
    <n v="45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PAULO KOELLE DR ESCOLA MUNICIPAL"/>
    <n v="35061426"/>
    <n v="3"/>
    <n v="1"/>
    <n v="0"/>
    <s v="12"/>
    <s v="867"/>
    <s v="RUA"/>
    <s v="CENTRO"/>
    <n v="13500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10"/>
    <n v="410"/>
    <n v="0"/>
    <n v="0"/>
    <n v="0"/>
    <n v="0"/>
    <n v="21"/>
    <n v="206"/>
    <n v="204"/>
    <n v="31"/>
    <n v="318"/>
    <n v="17"/>
    <n v="44"/>
    <n v="0"/>
    <n v="0"/>
    <n v="125"/>
    <n v="267"/>
    <n v="18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JOVELINA MORATELI ESCOLA MUNICIPAL"/>
    <n v="35063502"/>
    <n v="3"/>
    <n v="1"/>
    <n v="0"/>
    <s v="9 MP"/>
    <s v="70"/>
    <s v="RUA"/>
    <s v="MAE PRETA"/>
    <n v="1350617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82"/>
    <n v="0"/>
    <n v="282"/>
    <n v="0"/>
    <n v="0"/>
    <n v="0"/>
    <n v="11"/>
    <n v="127"/>
    <n v="155"/>
    <n v="33"/>
    <n v="180"/>
    <n v="8"/>
    <n v="59"/>
    <n v="1"/>
    <n v="1"/>
    <n v="0"/>
    <n v="0"/>
    <n v="273"/>
    <n v="9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JOSE MARTINS DA SILVA PROF ESCOLA MUNICIPAL"/>
    <n v="35067398"/>
    <n v="3"/>
    <n v="1"/>
    <n v="0"/>
    <s v="7 JP"/>
    <s v="1055"/>
    <s v="RUA"/>
    <s v="JARDIM RESIDENCIAL PALMEIRAS"/>
    <n v="135021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26"/>
    <n v="326"/>
    <n v="0"/>
    <n v="0"/>
    <n v="0"/>
    <n v="0"/>
    <n v="15"/>
    <n v="180"/>
    <n v="146"/>
    <n v="16"/>
    <n v="211"/>
    <n v="15"/>
    <n v="81"/>
    <n v="2"/>
    <n v="1"/>
    <n v="86"/>
    <n v="219"/>
    <n v="21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JARDIM DAS PALMEIRAS ESCOLA MUNICIPAL CAIC"/>
    <n v="35074871"/>
    <n v="3"/>
    <n v="1"/>
    <n v="0"/>
    <s v="18 JB"/>
    <s v="401"/>
    <s v="AVENIDA"/>
    <s v="JARDIM BRASILIA"/>
    <n v="135002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75"/>
    <n v="0"/>
    <n v="627"/>
    <n v="0"/>
    <n v="0"/>
    <n v="48"/>
    <n v="31"/>
    <n v="329"/>
    <n v="346"/>
    <n v="57"/>
    <n v="392"/>
    <n v="23"/>
    <n v="201"/>
    <n v="1"/>
    <n v="1"/>
    <n v="0"/>
    <n v="0"/>
    <n v="600"/>
    <n v="27"/>
    <n v="12"/>
    <n v="36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EPHRAIM RIBEIRO DOS SANTOS PROF ESCOLA MUNICIPAL"/>
    <n v="35083203"/>
    <n v="3"/>
    <n v="1"/>
    <n v="0"/>
    <s v="JOSE FELICIO CASTELLANO"/>
    <s v="1660"/>
    <s v="RUA"/>
    <s v="VILA CRISTINA"/>
    <n v="135060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27"/>
    <n v="0"/>
    <n v="327"/>
    <n v="0"/>
    <n v="0"/>
    <n v="0"/>
    <n v="14"/>
    <n v="161"/>
    <n v="166"/>
    <n v="32"/>
    <n v="226"/>
    <n v="8"/>
    <n v="59"/>
    <n v="2"/>
    <n v="0"/>
    <n v="0"/>
    <n v="0"/>
    <n v="311"/>
    <n v="16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JOAO REHDER NETO ESCOLA MUNICIPAL"/>
    <n v="35083215"/>
    <n v="3"/>
    <n v="1"/>
    <n v="0"/>
    <s v="11"/>
    <s v="3008"/>
    <s v="RUA"/>
    <s v="SANTANA"/>
    <n v="1350409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14"/>
    <n v="314"/>
    <n v="0"/>
    <n v="0"/>
    <n v="0"/>
    <n v="0"/>
    <n v="12"/>
    <n v="156"/>
    <n v="158"/>
    <n v="21"/>
    <n v="221"/>
    <n v="7"/>
    <n v="65"/>
    <n v="0"/>
    <n v="0"/>
    <n v="73"/>
    <n v="217"/>
    <n v="24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LYGIA CARMO POLASTRI VENDRAMEL PROFA ESCOLA MUNICIPAL"/>
    <n v="35083914"/>
    <n v="3"/>
    <n v="1"/>
    <n v="0"/>
    <s v="11 C"/>
    <s v="13"/>
    <s v="RUA"/>
    <s v="CONJUNTO HABITACIONAL ARCOIRIS CECAP"/>
    <n v="1350607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40"/>
    <n v="340"/>
    <n v="0"/>
    <n v="0"/>
    <n v="0"/>
    <n v="0"/>
    <n v="16"/>
    <n v="169"/>
    <n v="171"/>
    <n v="16"/>
    <n v="222"/>
    <n v="13"/>
    <n v="89"/>
    <n v="0"/>
    <n v="0"/>
    <n v="112"/>
    <n v="208"/>
    <n v="20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ANTONIO MARIA MARROTE ESCOLA MUNICIPAL"/>
    <n v="35083926"/>
    <n v="3"/>
    <n v="1"/>
    <n v="0"/>
    <s v="17 BE"/>
    <s v="315"/>
    <s v="RUA"/>
    <s v="ESTADIO"/>
    <n v="13501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34"/>
    <n v="188"/>
    <n v="546"/>
    <n v="0"/>
    <n v="0"/>
    <n v="0"/>
    <n v="25"/>
    <n v="367"/>
    <n v="367"/>
    <n v="74"/>
    <n v="517"/>
    <n v="29"/>
    <n v="112"/>
    <n v="2"/>
    <n v="0"/>
    <n v="47"/>
    <n v="126"/>
    <n v="539"/>
    <n v="22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ELPIDIO MINA PROF ESCOLA MUNICIPAL"/>
    <n v="35086356"/>
    <n v="3"/>
    <n v="1"/>
    <n v="0"/>
    <s v="14 A"/>
    <s v="121"/>
    <s v="RUA"/>
    <s v="BELA VISTA"/>
    <n v="1350674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88"/>
    <n v="210"/>
    <n v="378"/>
    <n v="0"/>
    <n v="0"/>
    <n v="0"/>
    <n v="33"/>
    <n v="293"/>
    <n v="295"/>
    <n v="193"/>
    <n v="317"/>
    <n v="19"/>
    <n v="58"/>
    <n v="1"/>
    <n v="0"/>
    <n v="74"/>
    <n v="121"/>
    <n v="377"/>
    <n v="16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CLARA FREIRE CASTELLANO ESCOLA MUNICIPAL"/>
    <n v="35093524"/>
    <n v="3"/>
    <n v="1"/>
    <n v="0"/>
    <s v="62"/>
    <s v="1134"/>
    <s v="AVENIDA"/>
    <s v="RECANTO PARAISO"/>
    <n v="135044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32"/>
    <n v="432"/>
    <n v="0"/>
    <n v="0"/>
    <n v="0"/>
    <n v="0"/>
    <n v="11"/>
    <n v="196"/>
    <n v="236"/>
    <n v="188"/>
    <n v="159"/>
    <n v="5"/>
    <n v="78"/>
    <n v="1"/>
    <n v="1"/>
    <n v="101"/>
    <n v="307"/>
    <n v="24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DANTE EGREGGIO ESCOLA MUNICIPAL"/>
    <n v="35093531"/>
    <n v="3"/>
    <n v="1"/>
    <n v="0"/>
    <s v="P 4"/>
    <s v="SN"/>
    <s v="RUA"/>
    <s v="VILA PAULISTA"/>
    <n v="1350685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4"/>
    <n v="0"/>
    <n v="164"/>
    <n v="0"/>
    <n v="0"/>
    <n v="0"/>
    <n v="8"/>
    <n v="74"/>
    <n v="90"/>
    <n v="10"/>
    <n v="118"/>
    <n v="8"/>
    <n v="27"/>
    <n v="0"/>
    <n v="1"/>
    <n v="0"/>
    <n v="0"/>
    <n v="159"/>
    <n v="5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SESI 083 CENTRO EDUCACIONAL"/>
    <n v="35114029"/>
    <n v="4"/>
    <n v="1"/>
    <n v="0"/>
    <s v="AVENIDA M 29"/>
    <s v="441"/>
    <m/>
    <s v="JARDIM FLORIDIANA"/>
    <n v="1350500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771"/>
    <n v="0"/>
    <n v="576"/>
    <n v="195"/>
    <n v="0"/>
    <n v="0"/>
    <n v="12"/>
    <n v="388"/>
    <n v="383"/>
    <n v="34"/>
    <n v="603"/>
    <n v="18"/>
    <n v="114"/>
    <n v="2"/>
    <n v="0"/>
    <n v="0"/>
    <n v="0"/>
    <n v="309"/>
    <n v="264"/>
    <n v="193"/>
    <n v="5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PURISSIMO CORACAO DE MARIA COLEGIO"/>
    <n v="35114030"/>
    <n v="4"/>
    <n v="1"/>
    <n v="0"/>
    <s v="7"/>
    <s v="881"/>
    <s v="RUA"/>
    <s v="CENTRO"/>
    <n v="135001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16"/>
    <n v="81"/>
    <n v="580"/>
    <n v="255"/>
    <n v="0"/>
    <n v="0"/>
    <n v="25"/>
    <n v="449"/>
    <n v="467"/>
    <n v="4"/>
    <n v="867"/>
    <n v="6"/>
    <n v="37"/>
    <n v="2"/>
    <n v="0"/>
    <n v="19"/>
    <n v="59"/>
    <n v="284"/>
    <n v="304"/>
    <n v="241"/>
    <n v="9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ALEM COLEGIO"/>
    <n v="35114042"/>
    <n v="4"/>
    <n v="1"/>
    <n v="0"/>
    <s v="6"/>
    <s v="536"/>
    <s v="AVENIDA"/>
    <s v="CENTRO"/>
    <n v="135004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43"/>
    <n v="0"/>
    <n v="122"/>
    <n v="80"/>
    <n v="41"/>
    <n v="0"/>
    <n v="2"/>
    <n v="103"/>
    <n v="140"/>
    <n v="26"/>
    <n v="186"/>
    <n v="4"/>
    <n v="27"/>
    <n v="0"/>
    <n v="0"/>
    <n v="0"/>
    <n v="0"/>
    <n v="57"/>
    <n v="65"/>
    <n v="69"/>
    <n v="52"/>
    <x v="0"/>
    <x v="0"/>
    <s v="Não"/>
    <x v="0"/>
    <x v="3"/>
    <x v="0"/>
    <x v="0"/>
    <x v="0"/>
    <x v="0"/>
  </r>
  <r>
    <s v="Sudeste"/>
    <s v="São Paulo"/>
    <s v="SP"/>
    <n v="35"/>
    <s v="Rio Claro"/>
    <n v="3543907"/>
    <s v="CLARETIANO COLEGIO"/>
    <n v="35114066"/>
    <n v="4"/>
    <n v="1"/>
    <n v="0"/>
    <s v="SANTO ANTONIO MARIA CLARET"/>
    <s v="1724"/>
    <s v="AVENIDA"/>
    <s v="CIDADE CLARET"/>
    <n v="13503257"/>
    <n v="1"/>
    <n v="1"/>
    <n v="1"/>
    <n v="1"/>
    <n v="0"/>
    <n v="0"/>
    <n v="0"/>
    <n v="0"/>
    <n v="1"/>
    <n v="0"/>
    <n v="1"/>
    <n v="0"/>
    <n v="1"/>
    <n v="0"/>
    <n v="0"/>
    <n v="0"/>
    <n v="0"/>
    <n v="1"/>
    <n v="0"/>
    <n v="0"/>
    <n v="0"/>
    <n v="0"/>
    <n v="749"/>
    <n v="35"/>
    <n v="478"/>
    <n v="236"/>
    <n v="0"/>
    <n v="0"/>
    <n v="10"/>
    <n v="402"/>
    <n v="347"/>
    <n v="22"/>
    <n v="690"/>
    <n v="6"/>
    <n v="26"/>
    <n v="5"/>
    <n v="0"/>
    <n v="5"/>
    <n v="28"/>
    <n v="228"/>
    <n v="253"/>
    <n v="231"/>
    <n v="4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KOELLE COLEGIO"/>
    <n v="35114078"/>
    <n v="4"/>
    <n v="1"/>
    <n v="0"/>
    <s v="5"/>
    <s v="1827"/>
    <s v="RUA"/>
    <s v="CENTRO"/>
    <n v="1350018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58"/>
    <n v="102"/>
    <n v="632"/>
    <n v="224"/>
    <n v="0"/>
    <n v="0"/>
    <n v="28"/>
    <n v="494"/>
    <n v="464"/>
    <n v="143"/>
    <n v="798"/>
    <n v="2"/>
    <n v="10"/>
    <n v="4"/>
    <n v="1"/>
    <n v="45"/>
    <n v="51"/>
    <n v="296"/>
    <n v="353"/>
    <n v="209"/>
    <n v="4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FRANCESCO PAOLI ESCOLA MUNICIPAL"/>
    <n v="35121903"/>
    <n v="3"/>
    <n v="1"/>
    <n v="0"/>
    <s v="P 7"/>
    <s v="787"/>
    <s v="RUA"/>
    <s v="VILA PAULISTA"/>
    <n v="1350687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5"/>
    <n v="65"/>
    <n v="0"/>
    <n v="0"/>
    <n v="0"/>
    <n v="0"/>
    <n v="1"/>
    <n v="25"/>
    <n v="40"/>
    <n v="4"/>
    <n v="52"/>
    <n v="3"/>
    <n v="6"/>
    <n v="0"/>
    <n v="0"/>
    <n v="63"/>
    <n v="2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ADVENTISTA DE RIO CLARO COLEGIO"/>
    <n v="35126251"/>
    <n v="4"/>
    <n v="1"/>
    <n v="0"/>
    <s v="9B"/>
    <s v="1115"/>
    <s v="RUA"/>
    <s v="VILA INDAIA"/>
    <n v="135067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81"/>
    <n v="69"/>
    <n v="512"/>
    <n v="0"/>
    <n v="0"/>
    <n v="0"/>
    <n v="7"/>
    <n v="293"/>
    <n v="288"/>
    <n v="59"/>
    <n v="451"/>
    <n v="15"/>
    <n v="55"/>
    <n v="1"/>
    <n v="0"/>
    <n v="12"/>
    <n v="50"/>
    <n v="302"/>
    <n v="210"/>
    <n v="7"/>
    <n v="0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SEMENTE ESCOLA DE EDUCACAO INFANTIL E ENSINO FUNDAMENTAL"/>
    <n v="35138368"/>
    <n v="4"/>
    <n v="1"/>
    <m/>
    <s v="AV 25"/>
    <s v="148"/>
    <s v="RUA"/>
    <s v="STO ANTONIO"/>
    <n v="1350011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APAE DE RIO CLARO"/>
    <n v="35145524"/>
    <n v="4"/>
    <n v="1"/>
    <n v="0"/>
    <s v="AV. PRESIDENTE TANCREDO DE ALMEIDA  NEVES"/>
    <s v="249"/>
    <m/>
    <s v="CIDADE CLARET"/>
    <n v="135032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10"/>
    <n v="0"/>
    <n v="210"/>
    <n v="0"/>
    <n v="0"/>
    <n v="0"/>
    <n v="210"/>
    <n v="86"/>
    <n v="124"/>
    <n v="12"/>
    <n v="150"/>
    <n v="2"/>
    <n v="46"/>
    <n v="0"/>
    <n v="0"/>
    <n v="0"/>
    <n v="0"/>
    <n v="14"/>
    <n v="27"/>
    <n v="18"/>
    <n v="151"/>
    <x v="0"/>
    <x v="0"/>
    <s v="Não"/>
    <x v="0"/>
    <x v="3"/>
    <x v="0"/>
    <x v="0"/>
    <x v="0"/>
    <x v="0"/>
  </r>
  <r>
    <s v="Sudeste"/>
    <s v="São Paulo"/>
    <s v="SP"/>
    <n v="35"/>
    <s v="Rio Claro"/>
    <n v="3543907"/>
    <s v="MANOEL JOSE FERREIRA ESCOLA SENAI"/>
    <n v="35147597"/>
    <n v="4"/>
    <n v="1"/>
    <n v="0"/>
    <s v="46"/>
    <s v="661"/>
    <s v="AVENIDA"/>
    <s v="JARDIM PRIMAVERA"/>
    <n v="135040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n v="86"/>
    <n v="0"/>
    <n v="0"/>
    <n v="0"/>
    <n v="86"/>
    <n v="0"/>
    <n v="1"/>
    <n v="16"/>
    <n v="70"/>
    <n v="3"/>
    <n v="67"/>
    <n v="0"/>
    <n v="16"/>
    <n v="0"/>
    <n v="0"/>
    <n v="0"/>
    <n v="0"/>
    <n v="0"/>
    <n v="0"/>
    <n v="10"/>
    <n v="76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SENAC RIO CLARO"/>
    <n v="35149111"/>
    <n v="4"/>
    <n v="1"/>
    <n v="0"/>
    <s v="DOIS"/>
    <s v="720"/>
    <s v="AVENIDA"/>
    <s v="CENTRO"/>
    <n v="135004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n v="421"/>
    <n v="0"/>
    <n v="0"/>
    <n v="0"/>
    <n v="421"/>
    <n v="0"/>
    <n v="6"/>
    <n v="260"/>
    <n v="161"/>
    <n v="125"/>
    <n v="219"/>
    <n v="14"/>
    <n v="61"/>
    <n v="2"/>
    <n v="0"/>
    <n v="0"/>
    <n v="0"/>
    <n v="0"/>
    <n v="0"/>
    <n v="21"/>
    <n v="400"/>
    <x v="0"/>
    <x v="0"/>
    <s v="Não"/>
    <x v="0"/>
    <x v="3"/>
    <x v="0"/>
    <x v="0"/>
    <x v="0"/>
    <x v="0"/>
  </r>
  <r>
    <s v="Sudeste"/>
    <s v="São Paulo"/>
    <s v="SP"/>
    <n v="35"/>
    <s v="Rio Claro"/>
    <n v="3543907"/>
    <s v="COLEGIO OBJETIVO DE RIO CLARO"/>
    <n v="35159013"/>
    <n v="4"/>
    <n v="1"/>
    <n v="0"/>
    <s v="24"/>
    <s v="1797"/>
    <s v="RUA"/>
    <s v="JARDIM SAO PAULO II"/>
    <n v="135031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05"/>
    <n v="115"/>
    <n v="681"/>
    <n v="209"/>
    <n v="0"/>
    <n v="0"/>
    <n v="13"/>
    <n v="504"/>
    <n v="501"/>
    <n v="47"/>
    <n v="905"/>
    <n v="5"/>
    <n v="44"/>
    <n v="4"/>
    <n v="0"/>
    <n v="32"/>
    <n v="74"/>
    <n v="344"/>
    <n v="345"/>
    <n v="201"/>
    <n v="9"/>
    <x v="0"/>
    <x v="0"/>
    <s v="Não"/>
    <x v="0"/>
    <x v="5"/>
    <x v="0"/>
    <x v="0"/>
    <x v="0"/>
    <x v="0"/>
  </r>
  <r>
    <s v="Sudeste"/>
    <s v="São Paulo"/>
    <s v="SP"/>
    <n v="35"/>
    <s v="Rio Claro"/>
    <n v="3543907"/>
    <s v="COLEGIO NAZARENO"/>
    <n v="35159025"/>
    <n v="4"/>
    <n v="1"/>
    <n v="0"/>
    <s v="37"/>
    <s v="1000"/>
    <m/>
    <s v="CIDADE JARDIM"/>
    <n v="1350117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52"/>
    <n v="32"/>
    <n v="207"/>
    <n v="13"/>
    <n v="0"/>
    <n v="0"/>
    <n v="5"/>
    <n v="126"/>
    <n v="126"/>
    <n v="16"/>
    <n v="217"/>
    <n v="4"/>
    <n v="14"/>
    <n v="1"/>
    <n v="0"/>
    <n v="11"/>
    <n v="15"/>
    <n v="117"/>
    <n v="94"/>
    <n v="15"/>
    <n v="0"/>
    <x v="0"/>
    <x v="0"/>
    <s v="Não"/>
    <x v="0"/>
    <x v="3"/>
    <x v="0"/>
    <x v="0"/>
    <x v="0"/>
    <x v="0"/>
  </r>
  <r>
    <s v="Sudeste"/>
    <s v="São Paulo"/>
    <s v="SP"/>
    <n v="35"/>
    <s v="Rio Claro"/>
    <n v="3543907"/>
    <s v="CLARETIANO COLEGIO CIDADE JARDIM"/>
    <n v="35159037"/>
    <n v="4"/>
    <n v="1"/>
    <m/>
    <s v="AVENIDA 37"/>
    <s v="1000"/>
    <s v="AVENIDA"/>
    <s v="CIDADE JARDIM"/>
    <n v="1350117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SERGIO HERNANI FITTIPALDI ESCOLA MUNICIPAL"/>
    <n v="35191437"/>
    <n v="3"/>
    <n v="1"/>
    <n v="0"/>
    <s v="M 53"/>
    <s v="2513"/>
    <s v="ENTRE RUAS 9 E 10"/>
    <s v="JARDIM DAS FLORES"/>
    <n v="135054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79"/>
    <n v="0"/>
    <n v="463"/>
    <n v="0"/>
    <n v="0"/>
    <n v="16"/>
    <n v="21"/>
    <n v="235"/>
    <n v="244"/>
    <n v="68"/>
    <n v="251"/>
    <n v="15"/>
    <n v="141"/>
    <n v="3"/>
    <n v="1"/>
    <n v="0"/>
    <n v="0"/>
    <n v="431"/>
    <n v="32"/>
    <n v="0"/>
    <n v="16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TRADE TREINAMENTO E EDUCACAO PROFISSIONAL"/>
    <n v="35196861"/>
    <n v="4"/>
    <n v="1"/>
    <m/>
    <s v="AVENIDA VISCONDE DE RIO CLARO"/>
    <m/>
    <m/>
    <s v="CENTRO"/>
    <n v="1350050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LUCIDIA THEREZINHA CASSAVIA ESCRIVAO SOARES EM"/>
    <n v="35204973"/>
    <n v="3"/>
    <n v="1"/>
    <n v="0"/>
    <s v="20 BV"/>
    <s v="5784"/>
    <s v="RUA"/>
    <s v="JARDIM BOA VISTA"/>
    <n v="1350471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87"/>
    <n v="187"/>
    <n v="0"/>
    <n v="0"/>
    <n v="0"/>
    <n v="0"/>
    <n v="4"/>
    <n v="91"/>
    <n v="96"/>
    <n v="32"/>
    <n v="84"/>
    <n v="12"/>
    <n v="58"/>
    <n v="0"/>
    <n v="1"/>
    <n v="52"/>
    <n v="123"/>
    <n v="12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ISOLINA HUPPERT CASSAVIA ESCOLA MUNICIPAL"/>
    <n v="35204985"/>
    <n v="3"/>
    <n v="1"/>
    <n v="0"/>
    <s v="18 BR"/>
    <s v="401"/>
    <s v="AVENIDA"/>
    <s v="JARDIM BRASILIA"/>
    <n v="135022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1"/>
    <n v="301"/>
    <n v="0"/>
    <n v="0"/>
    <n v="0"/>
    <n v="0"/>
    <n v="10"/>
    <n v="151"/>
    <n v="150"/>
    <n v="12"/>
    <n v="175"/>
    <n v="18"/>
    <n v="96"/>
    <n v="0"/>
    <n v="0"/>
    <n v="120"/>
    <n v="167"/>
    <n v="14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MITIKO MATSUSHITA NEVOEIRO ESCOLA MUNICIPAL"/>
    <n v="35204997"/>
    <n v="3"/>
    <n v="1"/>
    <n v="0"/>
    <s v="M 31"/>
    <s v="2260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n v="344"/>
    <n v="344"/>
    <n v="0"/>
    <n v="0"/>
    <n v="0"/>
    <n v="0"/>
    <n v="18"/>
    <n v="173"/>
    <n v="171"/>
    <n v="24"/>
    <n v="166"/>
    <n v="15"/>
    <n v="139"/>
    <n v="0"/>
    <n v="0"/>
    <n v="83"/>
    <n v="234"/>
    <n v="27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LUCIA APARECIDA BUSCHINELLI CARNEIRO EM"/>
    <n v="35236330"/>
    <n v="3"/>
    <n v="1"/>
    <n v="0"/>
    <s v="23"/>
    <s v="3850"/>
    <s v="RUA"/>
    <s v="JARDIM PAULISTA II"/>
    <n v="1350430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2"/>
    <n v="92"/>
    <n v="0"/>
    <n v="0"/>
    <n v="0"/>
    <n v="0"/>
    <n v="0"/>
    <n v="50"/>
    <n v="42"/>
    <n v="1"/>
    <n v="50"/>
    <n v="5"/>
    <n v="36"/>
    <n v="0"/>
    <n v="0"/>
    <n v="92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FRANCISCA COAN ESCOLA MUNICIPAL"/>
    <n v="35236342"/>
    <n v="3"/>
    <n v="1"/>
    <n v="0"/>
    <s v="M 31"/>
    <s v="2236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04"/>
    <n v="204"/>
    <n v="0"/>
    <n v="0"/>
    <n v="0"/>
    <n v="0"/>
    <n v="2"/>
    <n v="112"/>
    <n v="92"/>
    <n v="13"/>
    <n v="99"/>
    <n v="19"/>
    <n v="71"/>
    <n v="2"/>
    <n v="0"/>
    <n v="204"/>
    <n v="0"/>
    <n v="0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SANTO ANTONIO ESCOLA MUNICIPAL"/>
    <n v="35236354"/>
    <n v="3"/>
    <n v="1"/>
    <n v="0"/>
    <s v="38"/>
    <s v="625"/>
    <m/>
    <s v="VILA OPERARIA"/>
    <n v="135041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0"/>
    <n v="40"/>
    <n v="0"/>
    <n v="0"/>
    <n v="0"/>
    <n v="0"/>
    <n v="0"/>
    <n v="24"/>
    <n v="16"/>
    <n v="8"/>
    <n v="25"/>
    <n v="2"/>
    <n v="5"/>
    <n v="0"/>
    <n v="0"/>
    <n v="40"/>
    <n v="0"/>
    <n v="0"/>
    <n v="0"/>
    <n v="0"/>
    <n v="0"/>
    <x v="2"/>
    <x v="0"/>
    <s v="Não"/>
    <x v="0"/>
    <x v="2"/>
    <x v="0"/>
    <x v="0"/>
    <x v="0"/>
    <x v="0"/>
  </r>
  <r>
    <s v="Sudeste"/>
    <s v="São Paulo"/>
    <s v="SP"/>
    <n v="35"/>
    <s v="Rio Claro"/>
    <n v="3543907"/>
    <s v="ROSA MARIA CASTELLANO PIERONI ESCOLA MUNICIPAL"/>
    <n v="35236366"/>
    <n v="3"/>
    <n v="1"/>
    <n v="0"/>
    <s v="M 15"/>
    <s v="580"/>
    <s v="AVENIDA"/>
    <s v="JARDIM CHERVESON"/>
    <n v="135053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4"/>
    <n v="134"/>
    <n v="0"/>
    <n v="0"/>
    <n v="0"/>
    <n v="0"/>
    <n v="1"/>
    <n v="61"/>
    <n v="73"/>
    <n v="13"/>
    <n v="69"/>
    <n v="19"/>
    <n v="33"/>
    <n v="0"/>
    <n v="0"/>
    <n v="134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MONTEIRO LOBATO ESCOLA MUNICIPAL"/>
    <n v="35236378"/>
    <n v="3"/>
    <n v="1"/>
    <n v="0"/>
    <s v="1 MP"/>
    <s v="56"/>
    <s v="AVENIDA"/>
    <s v="PARQUE MAE PRETA"/>
    <n v="135061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47"/>
    <n v="147"/>
    <n v="0"/>
    <n v="0"/>
    <n v="0"/>
    <n v="0"/>
    <n v="3"/>
    <n v="86"/>
    <n v="61"/>
    <n v="0"/>
    <n v="101"/>
    <n v="11"/>
    <n v="34"/>
    <n v="1"/>
    <n v="0"/>
    <n v="147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MORA GUIMARAES ESCOLA MUNICIPAL"/>
    <n v="35236385"/>
    <n v="3"/>
    <n v="1"/>
    <n v="0"/>
    <s v="20 BV"/>
    <s v="5784"/>
    <s v="RUA"/>
    <s v="JARDIM BOA VISTA"/>
    <n v="1350471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4"/>
    <n v="64"/>
    <n v="0"/>
    <n v="0"/>
    <n v="0"/>
    <n v="0"/>
    <n v="0"/>
    <n v="24"/>
    <n v="40"/>
    <n v="1"/>
    <n v="42"/>
    <n v="5"/>
    <n v="15"/>
    <n v="1"/>
    <n v="0"/>
    <n v="64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MARIA TEIXEIRA FITTIPALDI PROFA ESCOLA MUNICIPAL"/>
    <n v="35236391"/>
    <n v="3"/>
    <n v="1"/>
    <n v="0"/>
    <s v="8 JP"/>
    <s v="1050"/>
    <s v="RUA"/>
    <s v="JARDIM RESIDENCIAL DAS PALMEIRAS"/>
    <n v="135021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9"/>
    <n v="139"/>
    <n v="0"/>
    <n v="0"/>
    <n v="0"/>
    <n v="0"/>
    <n v="1"/>
    <n v="89"/>
    <n v="50"/>
    <n v="2"/>
    <n v="86"/>
    <n v="7"/>
    <n v="44"/>
    <n v="0"/>
    <n v="0"/>
    <n v="139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COMECINHO DE VIDA DIVA CABRAL DE OLIVEIRA PROFA CRECHE"/>
    <n v="35236408"/>
    <n v="3"/>
    <n v="1"/>
    <n v="0"/>
    <s v="42 A"/>
    <s v="425"/>
    <m/>
    <s v="VILA ALEMA"/>
    <n v="1350662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4"/>
    <n v="44"/>
    <n v="0"/>
    <n v="0"/>
    <n v="0"/>
    <n v="0"/>
    <n v="1"/>
    <n v="20"/>
    <n v="24"/>
    <n v="0"/>
    <n v="28"/>
    <n v="4"/>
    <n v="11"/>
    <n v="1"/>
    <n v="0"/>
    <n v="44"/>
    <n v="0"/>
    <n v="0"/>
    <n v="0"/>
    <n v="0"/>
    <n v="0"/>
    <x v="2"/>
    <x v="0"/>
    <s v="Não"/>
    <x v="0"/>
    <x v="2"/>
    <x v="0"/>
    <x v="0"/>
    <x v="0"/>
    <x v="0"/>
  </r>
  <r>
    <s v="Sudeste"/>
    <s v="São Paulo"/>
    <s v="SP"/>
    <n v="35"/>
    <s v="Rio Claro"/>
    <n v="3543907"/>
    <s v="ARLINDO ANSANELLO ESCOLA MUNICIPAL"/>
    <n v="35236412"/>
    <n v="3"/>
    <n v="1"/>
    <n v="0"/>
    <s v="11"/>
    <s v="2611"/>
    <m/>
    <s v="CENTRO"/>
    <n v="135002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3"/>
    <n v="113"/>
    <n v="0"/>
    <n v="0"/>
    <n v="0"/>
    <n v="0"/>
    <n v="3"/>
    <n v="52"/>
    <n v="61"/>
    <n v="3"/>
    <n v="79"/>
    <n v="4"/>
    <n v="27"/>
    <n v="0"/>
    <n v="0"/>
    <n v="106"/>
    <n v="7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JOSE DE CAMPOS CHAGAS PROF DR ESCOLA MUNICIPAL"/>
    <n v="35236421"/>
    <n v="3"/>
    <n v="1"/>
    <n v="0"/>
    <s v="7"/>
    <s v="1635"/>
    <m/>
    <s v="ZONA CENTRAL"/>
    <n v="135002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01"/>
    <n v="101"/>
    <n v="0"/>
    <n v="0"/>
    <n v="0"/>
    <n v="0"/>
    <n v="3"/>
    <n v="45"/>
    <n v="56"/>
    <n v="5"/>
    <n v="76"/>
    <n v="4"/>
    <n v="16"/>
    <n v="0"/>
    <n v="0"/>
    <n v="99"/>
    <n v="2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LUIZ MARTINS RODRIGUES FILHO PROF ESCOLA MUNICIPAL"/>
    <n v="35246037"/>
    <n v="3"/>
    <n v="1"/>
    <n v="0"/>
    <s v="13 JW"/>
    <s v="140"/>
    <s v="AVENIDA"/>
    <s v="NOVO JARDIM WENZEL"/>
    <n v="135037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11"/>
    <n v="257"/>
    <n v="254"/>
    <n v="0"/>
    <n v="0"/>
    <n v="0"/>
    <n v="9"/>
    <n v="271"/>
    <n v="240"/>
    <n v="30"/>
    <n v="278"/>
    <n v="22"/>
    <n v="181"/>
    <n v="0"/>
    <n v="0"/>
    <n v="54"/>
    <n v="191"/>
    <n v="255"/>
    <n v="11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ARMANDO GRISI PROF ESCOLA MUNICIPAL"/>
    <n v="35246049"/>
    <n v="3"/>
    <n v="1"/>
    <n v="0"/>
    <s v="56"/>
    <s v="2540"/>
    <s v="RUA 22 A 26"/>
    <s v="JARDIM PAULISTA II"/>
    <n v="13504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07"/>
    <n v="0"/>
    <n v="424"/>
    <n v="0"/>
    <n v="0"/>
    <n v="83"/>
    <n v="23"/>
    <n v="244"/>
    <n v="263"/>
    <n v="151"/>
    <n v="206"/>
    <n v="10"/>
    <n v="139"/>
    <n v="1"/>
    <n v="0"/>
    <n v="0"/>
    <n v="0"/>
    <n v="402"/>
    <n v="21"/>
    <n v="19"/>
    <n v="65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RIO CLARO CONSERVATORIO MUSICAL"/>
    <n v="35253753"/>
    <n v="4"/>
    <n v="1"/>
    <m/>
    <s v="07"/>
    <s v="1687"/>
    <s v="RUA"/>
    <s v="STA CRUZ"/>
    <n v="135002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RENASCER COLEGIO TECNICO"/>
    <n v="35260605"/>
    <n v="4"/>
    <n v="1"/>
    <n v="0"/>
    <s v="8"/>
    <s v="519"/>
    <s v="AVENIDA"/>
    <s v="CENTRO"/>
    <n v="135004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41"/>
    <n v="0"/>
    <n v="0"/>
    <n v="0"/>
    <n v="141"/>
    <n v="0"/>
    <n v="0"/>
    <n v="126"/>
    <n v="15"/>
    <n v="47"/>
    <n v="71"/>
    <n v="3"/>
    <n v="19"/>
    <n v="0"/>
    <n v="1"/>
    <n v="0"/>
    <n v="0"/>
    <n v="0"/>
    <n v="0"/>
    <n v="0"/>
    <n v="141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EDUQ COMPLEXO EDUCACIONAL"/>
    <n v="35263072"/>
    <n v="4"/>
    <n v="1"/>
    <n v="0"/>
    <s v="1 A"/>
    <s v="568"/>
    <s v="RUA"/>
    <s v="VILA APARECIDA"/>
    <n v="135005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912"/>
    <n v="68"/>
    <n v="611"/>
    <n v="233"/>
    <n v="144"/>
    <n v="0"/>
    <n v="17"/>
    <n v="444"/>
    <n v="468"/>
    <n v="91"/>
    <n v="761"/>
    <n v="10"/>
    <n v="48"/>
    <n v="1"/>
    <n v="1"/>
    <n v="20"/>
    <n v="42"/>
    <n v="258"/>
    <n v="340"/>
    <n v="237"/>
    <n v="15"/>
    <x v="0"/>
    <x v="0"/>
    <s v="Não"/>
    <x v="0"/>
    <x v="0"/>
    <x v="0"/>
    <x v="0"/>
    <x v="0"/>
    <x v="0"/>
  </r>
  <r>
    <s v="Sudeste"/>
    <s v="São Paulo"/>
    <s v="SP"/>
    <n v="35"/>
    <s v="Rio Claro"/>
    <n v="3543907"/>
    <s v="MICROCAMP ESCOLA DE EDUCACAO PROFISSIONAL"/>
    <n v="35263084"/>
    <n v="4"/>
    <n v="1"/>
    <m/>
    <s v="RUA 1"/>
    <m/>
    <m/>
    <s v="CENTRO"/>
    <n v="1350014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ANTONIO SEBASTIAO DA SILVA PROF ESCOLA MUNICIPAL"/>
    <n v="35267284"/>
    <n v="3"/>
    <n v="1"/>
    <n v="0"/>
    <s v="M 17"/>
    <s v="721"/>
    <s v="RUA"/>
    <s v="PARQUE DAS INDUSTRIAS"/>
    <n v="1350537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16"/>
    <n v="0"/>
    <n v="616"/>
    <n v="0"/>
    <n v="0"/>
    <n v="0"/>
    <n v="26"/>
    <n v="313"/>
    <n v="303"/>
    <n v="91"/>
    <n v="335"/>
    <n v="24"/>
    <n v="166"/>
    <n v="0"/>
    <n v="0"/>
    <n v="0"/>
    <n v="0"/>
    <n v="579"/>
    <n v="37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DIVA MARQUES GOUVEA PROFA ESCOLA MUNICIPAL"/>
    <n v="35267296"/>
    <n v="3"/>
    <n v="1"/>
    <n v="0"/>
    <s v="SAUDADE"/>
    <s v="399"/>
    <s v="AVENIDA"/>
    <s v="CONSOLACAO"/>
    <n v="135003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94"/>
    <n v="0"/>
    <n v="194"/>
    <n v="0"/>
    <n v="0"/>
    <n v="0"/>
    <n v="13"/>
    <n v="83"/>
    <n v="111"/>
    <n v="12"/>
    <n v="139"/>
    <n v="2"/>
    <n v="41"/>
    <n v="0"/>
    <n v="0"/>
    <n v="0"/>
    <n v="0"/>
    <n v="188"/>
    <n v="6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DJILIAH CAMARGO DE SOUZA PROFA ESCOLA MUNICIPAL"/>
    <n v="35267302"/>
    <n v="3"/>
    <n v="1"/>
    <n v="0"/>
    <s v="4 A"/>
    <s v="1098"/>
    <m/>
    <s v="VILA ALEMA"/>
    <n v="1350656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10"/>
    <n v="0"/>
    <n v="410"/>
    <n v="0"/>
    <n v="0"/>
    <n v="0"/>
    <n v="12"/>
    <n v="205"/>
    <n v="205"/>
    <n v="22"/>
    <n v="326"/>
    <n v="9"/>
    <n v="52"/>
    <n v="1"/>
    <n v="0"/>
    <n v="0"/>
    <n v="1"/>
    <n v="394"/>
    <n v="15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HAMILTON PRADO DEPUTADO FEDERAL ESCOLA MUNICIPAL"/>
    <n v="35267314"/>
    <n v="3"/>
    <n v="1"/>
    <n v="0"/>
    <s v="14"/>
    <s v="3896"/>
    <s v="RUA"/>
    <s v="VILA OLINDA"/>
    <n v="1350416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51"/>
    <n v="0"/>
    <n v="551"/>
    <n v="0"/>
    <n v="0"/>
    <n v="0"/>
    <n v="21"/>
    <n v="282"/>
    <n v="269"/>
    <n v="139"/>
    <n v="286"/>
    <n v="17"/>
    <n v="107"/>
    <n v="2"/>
    <n v="0"/>
    <n v="0"/>
    <n v="0"/>
    <n v="527"/>
    <n v="24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MARCELLO SCHMIDT ESCOLA MUNICIPAL"/>
    <n v="35267326"/>
    <n v="3"/>
    <n v="1"/>
    <n v="0"/>
    <s v="25"/>
    <s v="148"/>
    <m/>
    <s v="SAUDE"/>
    <n v="13501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98"/>
    <n v="0"/>
    <n v="204"/>
    <n v="0"/>
    <n v="0"/>
    <n v="94"/>
    <n v="66"/>
    <n v="143"/>
    <n v="155"/>
    <n v="49"/>
    <n v="194"/>
    <n v="11"/>
    <n v="44"/>
    <n v="0"/>
    <n v="0"/>
    <n v="0"/>
    <n v="0"/>
    <n v="183"/>
    <n v="18"/>
    <n v="30"/>
    <n v="67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MONSENHOR MARTINS ESCOLA MUNICIPAL"/>
    <n v="35267338"/>
    <n v="3"/>
    <n v="1"/>
    <n v="0"/>
    <s v="36"/>
    <s v="717"/>
    <s v="AVENIDA"/>
    <s v="VILA OPERARIA"/>
    <n v="135041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95"/>
    <n v="0"/>
    <n v="595"/>
    <n v="0"/>
    <n v="0"/>
    <n v="0"/>
    <n v="29"/>
    <n v="286"/>
    <n v="309"/>
    <n v="60"/>
    <n v="468"/>
    <n v="9"/>
    <n v="57"/>
    <n v="1"/>
    <n v="0"/>
    <n v="0"/>
    <n v="0"/>
    <n v="565"/>
    <n v="30"/>
    <n v="0"/>
    <n v="0"/>
    <x v="2"/>
    <x v="0"/>
    <s v="Não"/>
    <x v="0"/>
    <x v="0"/>
    <x v="0"/>
    <x v="0"/>
    <x v="0"/>
    <x v="0"/>
  </r>
  <r>
    <s v="Sudeste"/>
    <s v="São Paulo"/>
    <s v="SP"/>
    <n v="35"/>
    <s v="Rio Claro"/>
    <n v="3543907"/>
    <s v="SYLVIO DE ARAUJO PROF ESCOLA MUNICIPAL"/>
    <n v="35267348"/>
    <n v="3"/>
    <n v="1"/>
    <n v="0"/>
    <s v="9 A"/>
    <s v="2486"/>
    <s v="RUA"/>
    <s v="VILA SAO MIGUEL"/>
    <n v="135064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50"/>
    <n v="0"/>
    <n v="402"/>
    <n v="0"/>
    <n v="0"/>
    <n v="48"/>
    <n v="18"/>
    <n v="221"/>
    <n v="229"/>
    <n v="66"/>
    <n v="260"/>
    <n v="13"/>
    <n v="110"/>
    <n v="0"/>
    <n v="1"/>
    <n v="0"/>
    <n v="0"/>
    <n v="380"/>
    <n v="22"/>
    <n v="13"/>
    <n v="35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DENNIZARD FRANCA MACHADO PROFESSOR ESCOLA MUNICIPAL"/>
    <n v="35267351"/>
    <n v="3"/>
    <n v="1"/>
    <n v="0"/>
    <s v="2"/>
    <s v="196"/>
    <s v="AVENIDA"/>
    <s v="BATOVI"/>
    <n v="1350476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6"/>
    <n v="48"/>
    <n v="108"/>
    <n v="0"/>
    <n v="0"/>
    <n v="0"/>
    <n v="4"/>
    <n v="82"/>
    <n v="74"/>
    <n v="30"/>
    <n v="92"/>
    <n v="4"/>
    <n v="30"/>
    <n v="0"/>
    <n v="0"/>
    <n v="12"/>
    <n v="33"/>
    <n v="105"/>
    <n v="6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CENTRO DE RESSOCIALIZACAO MASC DE RIO CLARO CLS PROV"/>
    <n v="35269207"/>
    <n v="2"/>
    <n v="1"/>
    <n v="0"/>
    <s v="30 NR"/>
    <s v="200"/>
    <s v="RUA"/>
    <s v="JARDIM NOVA RIO CLARO"/>
    <n v="13502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60"/>
    <n v="0"/>
    <n v="0"/>
    <n v="0"/>
    <n v="0"/>
    <n v="160"/>
    <n v="3"/>
    <n v="0"/>
    <n v="160"/>
    <n v="29"/>
    <n v="56"/>
    <n v="8"/>
    <n v="67"/>
    <n v="0"/>
    <n v="0"/>
    <n v="0"/>
    <n v="0"/>
    <n v="0"/>
    <n v="0"/>
    <n v="0"/>
    <n v="160"/>
    <x v="1"/>
    <x v="0"/>
    <s v="Não"/>
    <x v="0"/>
    <x v="1"/>
    <x v="0"/>
    <x v="0"/>
    <x v="0"/>
    <x v="0"/>
  </r>
  <r>
    <s v="Sudeste"/>
    <s v="São Paulo"/>
    <s v="SP"/>
    <n v="35"/>
    <s v="Rio Claro"/>
    <n v="3543907"/>
    <s v="SEBASTIAO AMBROZIO PROF ESCOLA MUNICIPAL"/>
    <n v="35282182"/>
    <n v="3"/>
    <n v="1"/>
    <n v="0"/>
    <s v="2"/>
    <s v="428"/>
    <s v="AVENIDA"/>
    <s v="JARDIM NOVO I"/>
    <n v="1350276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7"/>
    <n v="117"/>
    <n v="0"/>
    <n v="0"/>
    <n v="0"/>
    <n v="0"/>
    <n v="1"/>
    <n v="59"/>
    <n v="58"/>
    <n v="1"/>
    <n v="79"/>
    <n v="7"/>
    <n v="30"/>
    <n v="0"/>
    <n v="0"/>
    <n v="117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NEPHTALI VIEIRA JUNIOR PASTOR ESCOLA MUNICIPAL"/>
    <n v="35283812"/>
    <n v="3"/>
    <n v="1"/>
    <n v="0"/>
    <s v="RUA 6"/>
    <s v="3461"/>
    <m/>
    <s v="SANTANA"/>
    <n v="1350409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26"/>
    <n v="126"/>
    <n v="0"/>
    <n v="0"/>
    <n v="0"/>
    <n v="0"/>
    <n v="6"/>
    <n v="56"/>
    <n v="70"/>
    <n v="1"/>
    <n v="102"/>
    <n v="5"/>
    <n v="18"/>
    <n v="0"/>
    <n v="0"/>
    <n v="63"/>
    <n v="56"/>
    <n v="7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SUELI MARIA PRONI CERRI PROFESSORA ESCOLA MUNICIPAL"/>
    <n v="35285961"/>
    <n v="3"/>
    <n v="1"/>
    <n v="0"/>
    <s v="54 A"/>
    <s v="523"/>
    <s v="AVENIDA"/>
    <s v="VILA CRISTINA"/>
    <n v="1350605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90"/>
    <n v="190"/>
    <n v="0"/>
    <n v="0"/>
    <n v="0"/>
    <n v="0"/>
    <n v="11"/>
    <n v="93"/>
    <n v="97"/>
    <n v="10"/>
    <n v="118"/>
    <n v="10"/>
    <n v="49"/>
    <n v="3"/>
    <n v="0"/>
    <n v="42"/>
    <n v="137"/>
    <n v="11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SUELI APARECIDA MARIN PROFESSORA ESCOLA MUNICIPAL"/>
    <n v="35285973"/>
    <n v="3"/>
    <n v="1"/>
    <n v="0"/>
    <s v="M 31"/>
    <s v="2288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15"/>
    <n v="0"/>
    <n v="215"/>
    <n v="0"/>
    <n v="0"/>
    <n v="0"/>
    <n v="10"/>
    <n v="112"/>
    <n v="103"/>
    <n v="14"/>
    <n v="91"/>
    <n v="17"/>
    <n v="91"/>
    <n v="2"/>
    <n v="0"/>
    <n v="0"/>
    <n v="0"/>
    <n v="204"/>
    <n v="11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SAMIRA ASSENCIO SAVOLDI PROFESSORA ESCOLA MUNICIPAL"/>
    <n v="35285985"/>
    <n v="3"/>
    <n v="1"/>
    <n v="0"/>
    <s v="40 SE"/>
    <s v="140"/>
    <s v="AVENIDA"/>
    <s v="JARDIM RESIDENCIAL SANTA ELIZA"/>
    <n v="1350461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1"/>
    <n v="151"/>
    <n v="0"/>
    <n v="0"/>
    <n v="0"/>
    <n v="0"/>
    <n v="8"/>
    <n v="68"/>
    <n v="83"/>
    <n v="8"/>
    <n v="74"/>
    <n v="3"/>
    <n v="62"/>
    <n v="4"/>
    <n v="0"/>
    <n v="55"/>
    <n v="87"/>
    <n v="9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HELIO JORGE DOS SANTOS ESCOLA MUNICIPAL"/>
    <n v="35286722"/>
    <n v="3"/>
    <n v="1"/>
    <n v="0"/>
    <s v="2 JN"/>
    <s v="428"/>
    <s v="BLOCO 2"/>
    <s v="JARDIM NOVO"/>
    <n v="1350276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78"/>
    <n v="278"/>
    <n v="0"/>
    <n v="0"/>
    <n v="0"/>
    <n v="0"/>
    <n v="11"/>
    <n v="128"/>
    <n v="150"/>
    <n v="10"/>
    <n v="160"/>
    <n v="11"/>
    <n v="95"/>
    <n v="2"/>
    <n v="0"/>
    <n v="55"/>
    <n v="204"/>
    <n v="19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ESTRELA DA ESPERANCA INSTITUTO"/>
    <n v="35287489"/>
    <n v="4"/>
    <n v="1"/>
    <m/>
    <s v="23"/>
    <s v="2017"/>
    <s v="AVENIDA"/>
    <s v="ESTADIO"/>
    <n v="1350139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CENTRO ATEND SOCIOEDUC AO ADOLESCENTE DE RIO CLARO CI"/>
    <n v="35296351"/>
    <n v="2"/>
    <n v="2"/>
    <m/>
    <s v="WILSON FINARDI"/>
    <s v="SN"/>
    <s v="KM 79"/>
    <s v="DISTRITO INDUSTRIAL"/>
    <n v="1350564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x v="1"/>
    <x v="4"/>
    <x v="1"/>
    <x v="1"/>
    <x v="2"/>
    <x v="1"/>
  </r>
  <r>
    <s v="Sudeste"/>
    <s v="São Paulo"/>
    <s v="SP"/>
    <n v="35"/>
    <s v="Rio Claro"/>
    <n v="3543907"/>
    <s v="CENTRO ATEND SOCIOEDUC AO ADOLESCENTE DE RIO CLARO-UIP"/>
    <n v="35296363"/>
    <n v="2"/>
    <n v="2"/>
    <m/>
    <s v="RODOVIA WILSON FINARDI"/>
    <m/>
    <m/>
    <s v="CENTRO"/>
    <n v="1350097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x v="1"/>
    <x v="4"/>
    <x v="1"/>
    <x v="1"/>
    <x v="2"/>
    <x v="1"/>
  </r>
  <r>
    <s v="Sudeste"/>
    <s v="São Paulo"/>
    <s v="SP"/>
    <n v="35"/>
    <s v="Rio Claro"/>
    <n v="3543907"/>
    <s v="CELESTE CALIL ESCOLA MUNICIPAL"/>
    <n v="35299662"/>
    <n v="3"/>
    <n v="1"/>
    <n v="0"/>
    <s v="SEIS"/>
    <s v="756"/>
    <s v="RUA"/>
    <s v="JARDIM NOVO WENZEL"/>
    <n v="1350366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00"/>
    <n v="0"/>
    <n v="300"/>
    <n v="0"/>
    <n v="0"/>
    <n v="0"/>
    <n v="5"/>
    <n v="147"/>
    <n v="153"/>
    <n v="20"/>
    <n v="157"/>
    <n v="11"/>
    <n v="112"/>
    <n v="0"/>
    <n v="0"/>
    <n v="0"/>
    <n v="0"/>
    <n v="275"/>
    <n v="25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ANA S PARK RECANTO INFANTIL"/>
    <n v="35302200"/>
    <n v="4"/>
    <n v="1"/>
    <n v="0"/>
    <s v="BRASIL"/>
    <s v="1419"/>
    <s v="AVENIDA"/>
    <s v="JARDIM FLORIDIANA"/>
    <n v="135056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1"/>
    <n v="41"/>
    <n v="0"/>
    <n v="0"/>
    <n v="0"/>
    <n v="0"/>
    <n v="0"/>
    <n v="19"/>
    <n v="22"/>
    <n v="6"/>
    <n v="29"/>
    <n v="1"/>
    <n v="5"/>
    <n v="0"/>
    <n v="0"/>
    <n v="20"/>
    <n v="20"/>
    <n v="1"/>
    <n v="0"/>
    <n v="0"/>
    <n v="0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CARROSSEL ESCOLA DESENVOLVIMENTO EDUCACIONAL INFANTIL"/>
    <n v="35302211"/>
    <n v="4"/>
    <n v="1"/>
    <n v="0"/>
    <s v="5"/>
    <s v="2193"/>
    <s v="RUA"/>
    <s v="CENTRO"/>
    <n v="13500181"/>
    <n v="1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n v="16"/>
    <n v="16"/>
    <n v="0"/>
    <n v="0"/>
    <n v="0"/>
    <n v="0"/>
    <n v="0"/>
    <n v="5"/>
    <n v="11"/>
    <n v="0"/>
    <n v="15"/>
    <n v="0"/>
    <n v="1"/>
    <n v="0"/>
    <n v="0"/>
    <n v="11"/>
    <n v="5"/>
    <n v="0"/>
    <n v="0"/>
    <n v="0"/>
    <n v="0"/>
    <x v="0"/>
    <x v="0"/>
    <s v="Não"/>
    <x v="0"/>
    <x v="2"/>
    <x v="0"/>
    <x v="0"/>
    <x v="0"/>
    <x v="2"/>
  </r>
  <r>
    <s v="Sudeste"/>
    <s v="São Paulo"/>
    <s v="SP"/>
    <n v="35"/>
    <s v="Rio Claro"/>
    <n v="3543907"/>
    <s v="PEQUENO PRINCIPE ESCOLA"/>
    <n v="35302235"/>
    <n v="4"/>
    <n v="1"/>
    <n v="0"/>
    <s v="13"/>
    <s v="1636"/>
    <s v="RUA"/>
    <s v="VILA DO RADIO"/>
    <n v="135002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6"/>
    <n v="28"/>
    <n v="8"/>
    <n v="0"/>
    <n v="0"/>
    <n v="0"/>
    <n v="0"/>
    <n v="20"/>
    <n v="16"/>
    <n v="1"/>
    <n v="35"/>
    <n v="0"/>
    <n v="0"/>
    <n v="0"/>
    <n v="0"/>
    <n v="13"/>
    <n v="17"/>
    <n v="6"/>
    <n v="0"/>
    <n v="0"/>
    <n v="0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FAZENDO ARTE CENTRO DE EDUCACAO INFANTIL"/>
    <n v="35307609"/>
    <n v="4"/>
    <n v="1"/>
    <n v="0"/>
    <s v="32 A"/>
    <s v="112"/>
    <s v="AVENIDA"/>
    <s v="VILA ALEMA"/>
    <n v="1350667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25"/>
    <n v="125"/>
    <n v="0"/>
    <n v="0"/>
    <n v="0"/>
    <n v="0"/>
    <n v="0"/>
    <n v="54"/>
    <n v="71"/>
    <n v="4"/>
    <n v="118"/>
    <n v="0"/>
    <n v="3"/>
    <n v="0"/>
    <n v="0"/>
    <n v="74"/>
    <n v="48"/>
    <n v="3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CATAVENTO ESCOLA DE EDUCACAO INFANTIL"/>
    <n v="35366924"/>
    <n v="4"/>
    <n v="1"/>
    <m/>
    <s v="1 A"/>
    <s v="545"/>
    <s v="RUA"/>
    <s v="VILA APARECIDA"/>
    <n v="13500511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EDUCATIVA ESCOLA DE EDUCACAO INFANTIL"/>
    <n v="35367011"/>
    <n v="4"/>
    <n v="1"/>
    <m/>
    <s v="38"/>
    <s v="625"/>
    <s v="AVENIDA"/>
    <s v="VILA OPERARIA"/>
    <n v="1350413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BRINQUEDOTECA ESCOLA DE ED INFANTIL E ENS FUNDAMENTAL UND I"/>
    <n v="35411206"/>
    <n v="4"/>
    <n v="1"/>
    <n v="0"/>
    <s v="4"/>
    <s v="532"/>
    <s v="RUA"/>
    <s v="CENTRO"/>
    <n v="135000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6"/>
    <n v="36"/>
    <n v="0"/>
    <n v="0"/>
    <n v="0"/>
    <n v="0"/>
    <n v="0"/>
    <n v="18"/>
    <n v="18"/>
    <n v="3"/>
    <n v="31"/>
    <n v="1"/>
    <n v="1"/>
    <n v="0"/>
    <n v="0"/>
    <n v="34"/>
    <n v="2"/>
    <n v="0"/>
    <n v="0"/>
    <n v="0"/>
    <n v="0"/>
    <x v="0"/>
    <x v="0"/>
    <s v="Não"/>
    <x v="0"/>
    <x v="2"/>
    <x v="0"/>
    <x v="0"/>
    <x v="0"/>
    <x v="0"/>
  </r>
  <r>
    <s v="Sudeste"/>
    <s v="São Paulo"/>
    <s v="SP"/>
    <n v="35"/>
    <s v="Rio Claro"/>
    <n v="3543907"/>
    <s v="BRINQUEDOTECA ESCOLA ED INFANTIL E ENSINO FUNDAMENTAL UND II"/>
    <n v="35411255"/>
    <n v="4"/>
    <n v="1"/>
    <n v="0"/>
    <s v="5"/>
    <s v="155"/>
    <s v="RUA"/>
    <s v="JARDIM DONANGELA"/>
    <n v="135000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8"/>
    <n v="32"/>
    <n v="86"/>
    <n v="0"/>
    <n v="0"/>
    <n v="0"/>
    <n v="2"/>
    <n v="52"/>
    <n v="66"/>
    <n v="16"/>
    <n v="91"/>
    <n v="0"/>
    <n v="8"/>
    <n v="3"/>
    <n v="0"/>
    <n v="1"/>
    <n v="29"/>
    <n v="88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NOVO ALVORECER CENTRO EDUCACIONAL"/>
    <n v="35429144"/>
    <n v="4"/>
    <n v="1"/>
    <n v="0"/>
    <s v="54 A"/>
    <s v="11"/>
    <s v="AVENIDA"/>
    <s v="JARDIM AMERICA"/>
    <n v="1350605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1"/>
    <n v="0"/>
    <n v="51"/>
    <n v="0"/>
    <n v="0"/>
    <n v="0"/>
    <n v="0"/>
    <n v="26"/>
    <n v="25"/>
    <n v="4"/>
    <n v="41"/>
    <n v="0"/>
    <n v="6"/>
    <n v="0"/>
    <n v="0"/>
    <n v="0"/>
    <n v="0"/>
    <n v="51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JANUARIO SYLVIO PEZZOTTI PROFESSOR"/>
    <n v="35435485"/>
    <n v="2"/>
    <n v="1"/>
    <n v="0"/>
    <s v="RUA 8 JN"/>
    <s v="450"/>
    <m/>
    <s v="JARDIM NOVO"/>
    <n v="1350274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20"/>
    <n v="0"/>
    <n v="529"/>
    <n v="576"/>
    <n v="29"/>
    <n v="15"/>
    <n v="28"/>
    <n v="546"/>
    <n v="574"/>
    <n v="54"/>
    <n v="623"/>
    <n v="30"/>
    <n v="410"/>
    <n v="1"/>
    <n v="2"/>
    <n v="0"/>
    <n v="0"/>
    <n v="1"/>
    <n v="486"/>
    <n v="566"/>
    <n v="67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ANGELA MONACO PERIN AILY PROFESSORA ESCOLA MUNICIPAL"/>
    <n v="35442057"/>
    <n v="3"/>
    <n v="1"/>
    <n v="0"/>
    <s v="8 JN"/>
    <s v="450"/>
    <s v="RUA"/>
    <s v="JARDIM NOVO"/>
    <n v="1350274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11"/>
    <n v="0"/>
    <n v="411"/>
    <n v="0"/>
    <n v="0"/>
    <n v="0"/>
    <n v="22"/>
    <n v="193"/>
    <n v="218"/>
    <n v="25"/>
    <n v="255"/>
    <n v="17"/>
    <n v="111"/>
    <n v="3"/>
    <n v="0"/>
    <n v="0"/>
    <n v="0"/>
    <n v="392"/>
    <n v="19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CENTRO DE RESSOCIALIZACAO FEMININO DE RIO CLARO"/>
    <n v="35453675"/>
    <n v="2"/>
    <n v="1"/>
    <n v="0"/>
    <s v="12 BE"/>
    <s v="SN"/>
    <s v="RUA"/>
    <s v="ESTADIO"/>
    <n v="135012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9"/>
    <n v="0"/>
    <n v="0"/>
    <n v="0"/>
    <n v="0"/>
    <n v="39"/>
    <n v="1"/>
    <n v="39"/>
    <n v="0"/>
    <n v="11"/>
    <n v="10"/>
    <n v="0"/>
    <n v="18"/>
    <n v="0"/>
    <n v="0"/>
    <n v="0"/>
    <n v="0"/>
    <n v="0"/>
    <n v="0"/>
    <n v="0"/>
    <n v="39"/>
    <x v="1"/>
    <x v="0"/>
    <s v="Não"/>
    <x v="0"/>
    <x v="2"/>
    <x v="0"/>
    <x v="0"/>
    <x v="0"/>
    <x v="0"/>
  </r>
  <r>
    <s v="Sudeste"/>
    <s v="São Paulo"/>
    <s v="SP"/>
    <n v="35"/>
    <s v="Rio Claro"/>
    <n v="3543907"/>
    <s v="MARINA FREDINE DAINESE CYRINO PROFA ESCOLA MUNICIPAL"/>
    <n v="35454624"/>
    <n v="3"/>
    <n v="1"/>
    <n v="0"/>
    <s v="8 CJ"/>
    <s v="50"/>
    <m/>
    <s v="CIDADE JARDIM"/>
    <n v="135010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5"/>
    <n v="45"/>
    <n v="0"/>
    <n v="0"/>
    <n v="0"/>
    <n v="0"/>
    <n v="3"/>
    <n v="21"/>
    <n v="24"/>
    <n v="0"/>
    <n v="37"/>
    <n v="1"/>
    <n v="7"/>
    <n v="0"/>
    <n v="0"/>
    <n v="26"/>
    <n v="17"/>
    <n v="2"/>
    <n v="0"/>
    <n v="0"/>
    <n v="0"/>
    <x v="2"/>
    <x v="0"/>
    <s v="Não"/>
    <x v="0"/>
    <x v="2"/>
    <x v="0"/>
    <x v="0"/>
    <x v="0"/>
    <x v="0"/>
  </r>
  <r>
    <s v="Sudeste"/>
    <s v="São Paulo"/>
    <s v="SP"/>
    <n v="35"/>
    <s v="Rio Claro"/>
    <n v="3543907"/>
    <s v="RIO CLARO COLEGIO POLITECNICO"/>
    <n v="35456184"/>
    <n v="4"/>
    <n v="1"/>
    <m/>
    <s v="AVENIDA 24"/>
    <s v="1444"/>
    <m/>
    <s v="SANTANA"/>
    <n v="1350052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CEL JTO A EE JOAQUIM RIBEIRO"/>
    <n v="35459719"/>
    <n v="2"/>
    <n v="1"/>
    <m/>
    <s v="6"/>
    <s v="437"/>
    <s v="RUA"/>
    <s v="JARDIM DONANGELA"/>
    <n v="1350005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DARCI REGINATTO EM"/>
    <n v="35462913"/>
    <n v="3"/>
    <n v="1"/>
    <n v="0"/>
    <s v="7"/>
    <s v="1700"/>
    <m/>
    <s v="CENTRO"/>
    <n v="135002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17"/>
    <n v="0"/>
    <n v="317"/>
    <n v="0"/>
    <n v="0"/>
    <n v="0"/>
    <n v="4"/>
    <n v="166"/>
    <n v="151"/>
    <n v="49"/>
    <n v="185"/>
    <n v="0"/>
    <n v="82"/>
    <n v="1"/>
    <n v="0"/>
    <n v="0"/>
    <n v="0"/>
    <n v="308"/>
    <n v="9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MARIA ISABEL SOARES PROFESSORA EM"/>
    <n v="35464284"/>
    <n v="3"/>
    <n v="1"/>
    <n v="0"/>
    <s v="17 BE"/>
    <s v="137"/>
    <s v="RUA"/>
    <s v="ESTADIO"/>
    <n v="13501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54"/>
    <n v="54"/>
    <n v="0"/>
    <n v="0"/>
    <n v="0"/>
    <n v="0"/>
    <n v="1"/>
    <n v="27"/>
    <n v="27"/>
    <n v="2"/>
    <n v="39"/>
    <n v="2"/>
    <n v="11"/>
    <n v="0"/>
    <n v="0"/>
    <n v="54"/>
    <n v="0"/>
    <n v="0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MARIA APARECIDA POLASTRI HARTUNG DONA BIRRO EM"/>
    <n v="35530955"/>
    <n v="3"/>
    <n v="1"/>
    <n v="0"/>
    <s v="M 22A"/>
    <s v="1177"/>
    <m/>
    <s v="JARDIM PROGRESSO"/>
    <n v="1350553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24"/>
    <n v="124"/>
    <n v="0"/>
    <n v="0"/>
    <n v="0"/>
    <n v="0"/>
    <n v="4"/>
    <n v="64"/>
    <n v="60"/>
    <n v="8"/>
    <n v="71"/>
    <n v="4"/>
    <n v="40"/>
    <n v="1"/>
    <n v="0"/>
    <n v="77"/>
    <n v="40"/>
    <n v="7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APROVADO CURSO"/>
    <n v="35560686"/>
    <n v="4"/>
    <n v="1"/>
    <m/>
    <s v="AVENIDA 2"/>
    <m/>
    <m/>
    <s v="CENTRO"/>
    <n v="1350041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ESCOLA SUPERIOR DE TECNOLOGIA E EDUCACAO DE RIO CLARO"/>
    <n v="35563857"/>
    <n v="4"/>
    <n v="1"/>
    <m/>
    <s v="RUA 7"/>
    <s v="1193"/>
    <m/>
    <s v="CENTRO"/>
    <n v="1350020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m/>
    <x v="1"/>
    <x v="4"/>
    <x v="1"/>
    <x v="1"/>
    <x v="2"/>
    <x v="1"/>
  </r>
  <r>
    <s v="Sudeste"/>
    <s v="São Paulo"/>
    <s v="SP"/>
    <n v="35"/>
    <s v="Rio Claro"/>
    <n v="3543907"/>
    <s v="ESCOLA MUNICIPAL CAMINHO DA VIDA PROFA MARGARIDA PENTEADO"/>
    <n v="35583844"/>
    <n v="3"/>
    <n v="1"/>
    <n v="0"/>
    <s v="2 JW"/>
    <s v="784"/>
    <s v="COM AVENIDA 7 JW"/>
    <s v="NOVO JARDIM WENZEL"/>
    <n v="1350366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4"/>
    <n v="134"/>
    <n v="0"/>
    <n v="0"/>
    <n v="0"/>
    <n v="0"/>
    <n v="4"/>
    <n v="67"/>
    <n v="67"/>
    <n v="2"/>
    <n v="76"/>
    <n v="5"/>
    <n v="50"/>
    <n v="1"/>
    <n v="0"/>
    <n v="89"/>
    <n v="41"/>
    <n v="4"/>
    <n v="0"/>
    <n v="0"/>
    <n v="0"/>
    <x v="2"/>
    <x v="0"/>
    <s v="Não"/>
    <x v="0"/>
    <x v="1"/>
    <x v="0"/>
    <x v="0"/>
    <x v="0"/>
    <x v="0"/>
  </r>
  <r>
    <s v="Sudeste"/>
    <s v="São Paulo"/>
    <s v="SP"/>
    <n v="35"/>
    <s v="Rio Claro"/>
    <n v="3543907"/>
    <s v="CORA CORALINA ESCOLA"/>
    <n v="35811661"/>
    <n v="4"/>
    <n v="1"/>
    <n v="0"/>
    <s v="25"/>
    <s v="358"/>
    <s v="AVENIDA"/>
    <s v="SANTO ANTONIO"/>
    <n v="13501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48"/>
    <n v="140"/>
    <n v="8"/>
    <n v="0"/>
    <n v="0"/>
    <n v="0"/>
    <n v="0"/>
    <n v="78"/>
    <n v="70"/>
    <n v="4"/>
    <n v="134"/>
    <n v="2"/>
    <n v="7"/>
    <n v="1"/>
    <n v="0"/>
    <n v="71"/>
    <n v="67"/>
    <n v="10"/>
    <n v="0"/>
    <n v="0"/>
    <n v="0"/>
    <x v="0"/>
    <x v="0"/>
    <s v="Não"/>
    <x v="0"/>
    <x v="1"/>
    <x v="0"/>
    <x v="0"/>
    <x v="0"/>
    <x v="0"/>
  </r>
  <r>
    <s v="Sudeste"/>
    <s v="São Paulo"/>
    <s v="SP"/>
    <n v="35"/>
    <s v="Rio Claro"/>
    <n v="3543907"/>
    <s v="SYLVIO DE ARAUJO PROF"/>
    <n v="35900448"/>
    <n v="2"/>
    <n v="1"/>
    <m/>
    <s v="R 9 A"/>
    <s v="2486"/>
    <s v="RUA"/>
    <s v="VL S MIGUEL"/>
    <n v="1350649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0"/>
    <m/>
    <x v="1"/>
    <x v="4"/>
    <x v="1"/>
    <x v="1"/>
    <x v="2"/>
    <x v="1"/>
  </r>
  <r>
    <s v="Sudeste"/>
    <s v="São Paulo"/>
    <s v="SP"/>
    <n v="35"/>
    <s v="Rio Claro"/>
    <n v="3543907"/>
    <s v="ROBERTO GARCIA LOSZ PROFESSOR"/>
    <n v="35905586"/>
    <n v="2"/>
    <n v="1"/>
    <n v="0"/>
    <s v="92 BV"/>
    <s v="SN"/>
    <s v="AVENIDA"/>
    <s v="JARDIM BOA VISTA"/>
    <n v="1350468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316"/>
    <n v="0"/>
    <n v="316"/>
    <n v="0"/>
    <n v="0"/>
    <n v="0"/>
    <n v="11"/>
    <n v="148"/>
    <n v="168"/>
    <n v="62"/>
    <n v="178"/>
    <n v="8"/>
    <n v="67"/>
    <n v="0"/>
    <n v="1"/>
    <n v="0"/>
    <n v="0"/>
    <n v="0"/>
    <n v="280"/>
    <n v="36"/>
    <n v="0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OSCALIA GOES CORREA SANTOS PROFESSORA"/>
    <n v="35905598"/>
    <n v="2"/>
    <n v="1"/>
    <n v="0"/>
    <s v="56"/>
    <s v="1646"/>
    <m/>
    <s v="PARQUE UNIVERSITARIO"/>
    <n v="13504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328"/>
    <n v="0"/>
    <n v="457"/>
    <n v="871"/>
    <n v="26"/>
    <n v="0"/>
    <n v="38"/>
    <n v="618"/>
    <n v="710"/>
    <n v="141"/>
    <n v="745"/>
    <n v="38"/>
    <n v="403"/>
    <n v="0"/>
    <n v="1"/>
    <n v="0"/>
    <n v="0"/>
    <n v="0"/>
    <n v="412"/>
    <n v="781"/>
    <n v="135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HELOISA LEMENHE MARASCA PROFESSORA"/>
    <n v="35909567"/>
    <n v="2"/>
    <n v="1"/>
    <n v="0"/>
    <s v="14 A"/>
    <s v="181"/>
    <s v="RUA"/>
    <s v="VILA INDAIA"/>
    <n v="1350674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810"/>
    <n v="0"/>
    <n v="320"/>
    <n v="490"/>
    <n v="0"/>
    <n v="0"/>
    <n v="21"/>
    <n v="398"/>
    <n v="412"/>
    <n v="38"/>
    <n v="578"/>
    <n v="39"/>
    <n v="151"/>
    <n v="4"/>
    <n v="0"/>
    <n v="0"/>
    <n v="0"/>
    <n v="0"/>
    <n v="307"/>
    <n v="461"/>
    <n v="42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OSCAR DE ALMEIDA PROFESSOR"/>
    <n v="35911148"/>
    <n v="2"/>
    <n v="1"/>
    <n v="0"/>
    <s v="MANOEL EDILSON TEIXEIRA"/>
    <s v="SN"/>
    <m/>
    <s v="DISTRITO DE ASSISTENCIA"/>
    <n v="135096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46"/>
    <n v="0"/>
    <n v="116"/>
    <n v="30"/>
    <n v="0"/>
    <n v="0"/>
    <n v="3"/>
    <n v="76"/>
    <n v="70"/>
    <n v="8"/>
    <n v="91"/>
    <n v="4"/>
    <n v="42"/>
    <n v="1"/>
    <n v="0"/>
    <n v="0"/>
    <n v="0"/>
    <n v="1"/>
    <n v="111"/>
    <n v="32"/>
    <n v="2"/>
    <x v="1"/>
    <x v="0"/>
    <s v="Não"/>
    <x v="0"/>
    <x v="1"/>
    <x v="0"/>
    <x v="0"/>
    <x v="0"/>
    <x v="0"/>
  </r>
  <r>
    <s v="Sudeste"/>
    <s v="São Paulo"/>
    <s v="SP"/>
    <n v="35"/>
    <s v="Rio Claro"/>
    <n v="3543907"/>
    <s v="ZITA DE GODOY CAMARGO PROFESSORA"/>
    <n v="35917916"/>
    <n v="2"/>
    <n v="1"/>
    <n v="0"/>
    <s v="M 17A"/>
    <s v="639"/>
    <s v="AVENIDA"/>
    <s v="JARDIM FLORIDIANA"/>
    <n v="1350500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184"/>
    <n v="0"/>
    <n v="556"/>
    <n v="616"/>
    <n v="0"/>
    <n v="12"/>
    <n v="36"/>
    <n v="582"/>
    <n v="602"/>
    <n v="151"/>
    <n v="666"/>
    <n v="37"/>
    <n v="326"/>
    <n v="2"/>
    <n v="2"/>
    <n v="0"/>
    <n v="0"/>
    <n v="1"/>
    <n v="512"/>
    <n v="610"/>
    <n v="61"/>
    <x v="1"/>
    <x v="0"/>
    <s v="Não"/>
    <x v="0"/>
    <x v="5"/>
    <x v="0"/>
    <x v="0"/>
    <x v="0"/>
    <x v="0"/>
  </r>
  <r>
    <s v="Sudeste"/>
    <s v="São Paulo"/>
    <s v="SP"/>
    <n v="35"/>
    <s v="Rio Claro"/>
    <n v="3543907"/>
    <s v="JOAO BAPTISTA NEGRAO FILHO PROFESSOR"/>
    <n v="35921944"/>
    <n v="2"/>
    <n v="1"/>
    <n v="0"/>
    <s v="6 JG"/>
    <s v="11"/>
    <s v="RUA"/>
    <s v="JARDIM GUANABARA"/>
    <n v="1350241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97"/>
    <n v="0"/>
    <n v="366"/>
    <n v="131"/>
    <n v="0"/>
    <n v="0"/>
    <n v="16"/>
    <n v="222"/>
    <n v="275"/>
    <n v="16"/>
    <n v="272"/>
    <n v="28"/>
    <n v="179"/>
    <n v="2"/>
    <n v="0"/>
    <n v="0"/>
    <n v="0"/>
    <n v="0"/>
    <n v="323"/>
    <n v="168"/>
    <n v="6"/>
    <x v="1"/>
    <x v="0"/>
    <s v="Não"/>
    <x v="0"/>
    <x v="3"/>
    <x v="0"/>
    <x v="0"/>
    <x v="0"/>
    <x v="0"/>
  </r>
  <r>
    <s v="Sudeste"/>
    <s v="São Paulo"/>
    <s v="SP"/>
    <n v="35"/>
    <s v="Rio Claro"/>
    <n v="3543907"/>
    <s v="JOSE FERNANDES PROFESSOR"/>
    <n v="35021623"/>
    <n v="2"/>
    <n v="1"/>
    <n v="0"/>
    <s v="TRES"/>
    <s v="735"/>
    <m/>
    <s v="DISTRITO DE AJAPI"/>
    <n v="1350851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657"/>
    <n v="0"/>
    <n v="317"/>
    <n v="340"/>
    <n v="0"/>
    <n v="0"/>
    <n v="21"/>
    <n v="344"/>
    <n v="313"/>
    <n v="4"/>
    <n v="443"/>
    <n v="19"/>
    <n v="190"/>
    <n v="0"/>
    <n v="1"/>
    <n v="0"/>
    <n v="0"/>
    <n v="146"/>
    <n v="159"/>
    <n v="318"/>
    <n v="34"/>
    <x v="1"/>
    <x v="0"/>
    <s v="Não"/>
    <x v="0"/>
    <x v="0"/>
    <x v="0"/>
    <x v="0"/>
    <x v="0"/>
    <x v="0"/>
  </r>
  <r>
    <s v="Sudeste"/>
    <s v="São Paulo"/>
    <s v="SP"/>
    <n v="35"/>
    <s v="Rio Claro"/>
    <n v="3543907"/>
    <s v="LAURA PENNA JOLY PROFA ESCOLA MUNICIPAL"/>
    <n v="35078694"/>
    <n v="3"/>
    <n v="1"/>
    <n v="0"/>
    <s v="RUA 10 AJAPI"/>
    <s v="188"/>
    <m/>
    <s v="JARDIM DOS SABIAS AJAPI"/>
    <n v="1350865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03"/>
    <n v="203"/>
    <n v="0"/>
    <n v="0"/>
    <n v="0"/>
    <n v="0"/>
    <n v="2"/>
    <n v="100"/>
    <n v="103"/>
    <n v="5"/>
    <n v="136"/>
    <n v="9"/>
    <n v="53"/>
    <n v="0"/>
    <n v="0"/>
    <n v="80"/>
    <n v="106"/>
    <n v="17"/>
    <n v="0"/>
    <n v="0"/>
    <n v="0"/>
    <x v="2"/>
    <x v="0"/>
    <s v="Não"/>
    <x v="0"/>
    <x v="3"/>
    <x v="0"/>
    <x v="0"/>
    <x v="0"/>
    <x v="0"/>
  </r>
  <r>
    <s v="Sudeste"/>
    <s v="São Paulo"/>
    <s v="SP"/>
    <n v="35"/>
    <s v="Rio Claro"/>
    <n v="3543907"/>
    <s v="RUBENS FOOT GUIMARAES ESCOLA MUNICIPAL"/>
    <n v="35098966"/>
    <n v="3"/>
    <n v="2"/>
    <n v="0"/>
    <s v="AVENIDA BRASIL"/>
    <s v="KM7"/>
    <s v="ESTRADA RIO CLARO AJ"/>
    <s v="CENTRO AJAPI"/>
    <n v="135085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n v="312"/>
    <n v="0"/>
    <n v="312"/>
    <n v="0"/>
    <n v="0"/>
    <n v="0"/>
    <n v="12"/>
    <n v="137"/>
    <n v="175"/>
    <n v="31"/>
    <n v="191"/>
    <n v="3"/>
    <n v="86"/>
    <n v="0"/>
    <n v="1"/>
    <n v="0"/>
    <n v="0"/>
    <n v="165"/>
    <n v="140"/>
    <n v="7"/>
    <n v="0"/>
    <x v="2"/>
    <x v="1"/>
    <s v="Não"/>
    <x v="0"/>
    <x v="3"/>
    <x v="0"/>
    <x v="0"/>
    <x v="1"/>
    <x v="0"/>
  </r>
  <r>
    <s v="Sudeste"/>
    <s v="São Paulo"/>
    <s v="SP"/>
    <n v="35"/>
    <s v="Rio Claro"/>
    <n v="3543907"/>
    <s v="BENEDICTO JOSE ZAINE PROFESSOR ESCOLA MUNICIPAL"/>
    <n v="35267363"/>
    <n v="3"/>
    <n v="1"/>
    <n v="0"/>
    <s v="4 FERRAZ"/>
    <s v="415"/>
    <m/>
    <s v="FERRAZ"/>
    <n v="1350875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43"/>
    <n v="13"/>
    <n v="30"/>
    <n v="0"/>
    <n v="0"/>
    <n v="0"/>
    <n v="1"/>
    <n v="22"/>
    <n v="21"/>
    <n v="4"/>
    <n v="22"/>
    <n v="3"/>
    <n v="14"/>
    <n v="0"/>
    <n v="0"/>
    <n v="2"/>
    <n v="10"/>
    <n v="28"/>
    <n v="3"/>
    <n v="0"/>
    <n v="0"/>
    <x v="2"/>
    <x v="0"/>
    <s v="Não"/>
    <x v="0"/>
    <x v="2"/>
    <x v="0"/>
    <x v="0"/>
    <x v="0"/>
    <x v="0"/>
  </r>
  <r>
    <s v="Sudeste"/>
    <s v="São Paulo"/>
    <s v="SP"/>
    <n v="35"/>
    <s v="Rio Claro"/>
    <n v="3543907"/>
    <s v="FERRAZ"/>
    <n v="35355148"/>
    <n v="2"/>
    <n v="2"/>
    <m/>
    <s v="FERRAZ"/>
    <s v="SN"/>
    <m/>
    <s v="FERRAZ"/>
    <n v="13508971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m/>
    <x v="1"/>
    <x v="4"/>
    <x v="1"/>
    <x v="1"/>
    <x v="2"/>
    <x v="1"/>
  </r>
  <r>
    <s v="Sudeste"/>
    <s v="São Paulo"/>
    <s v="SP"/>
    <n v="35"/>
    <s v="Rio Claro"/>
    <n v="3543907"/>
    <s v="JOAO BATISTA MAULE ESCOLA MUNICIPAL"/>
    <n v="35285959"/>
    <n v="3"/>
    <n v="1"/>
    <n v="0"/>
    <s v="7"/>
    <s v="833"/>
    <s v="RUA"/>
    <s v="CENTRO"/>
    <n v="1350966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152"/>
    <n v="71"/>
    <n v="81"/>
    <n v="0"/>
    <n v="0"/>
    <n v="0"/>
    <n v="13"/>
    <n v="74"/>
    <n v="78"/>
    <n v="49"/>
    <n v="77"/>
    <n v="4"/>
    <n v="22"/>
    <n v="0"/>
    <n v="0"/>
    <n v="28"/>
    <n v="41"/>
    <n v="80"/>
    <n v="3"/>
    <n v="0"/>
    <n v="0"/>
    <x v="2"/>
    <x v="0"/>
    <s v="Não"/>
    <x v="0"/>
    <x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A6C333-DB6A-4B3E-BC47-FCA8ECD2CF0D}" name="Tabela dinâmica6" cacheId="46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29:B35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Não declarada" fld="47" baseField="0" baseItem="0"/>
    <dataField name="Branca" fld="48" baseField="0" baseItem="0"/>
    <dataField name="Preta" fld="49" baseField="0" baseItem="0"/>
    <dataField name="Parda" fld="50" baseField="0" baseItem="0"/>
    <dataField name="Amarela" fld="51" baseField="0" baseItem="0"/>
    <dataField name="Indígena" fld="52" baseField="0" baseItem="0"/>
  </dataFields>
  <formats count="2">
    <format dxfId="231">
      <pivotArea outline="0" collapsedLevelsAreSubtotals="1" fieldPosition="0"/>
    </format>
    <format dxfId="23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7D30C-E941-44A9-A6CD-2563F04BD25E}" name="Tabela dinâmica5" cacheId="46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F29:G35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Educação Infântil" fld="39" baseField="0" baseItem="0"/>
    <dataField name="Fundamental" fld="40" baseField="0" baseItem="0"/>
    <dataField name="Ensino Médio" fld="41" baseField="0" baseItem="0"/>
    <dataField name="Profissional" fld="42" baseField="0" baseItem="0"/>
    <dataField name="Eja" fld="43" baseField="0" baseItem="0"/>
    <dataField name="Eduação Especial" fld="44" baseField="0" baseItem="0"/>
  </dataFields>
  <formats count="2">
    <format dxfId="233">
      <pivotArea outline="0" collapsedLevelsAreSubtotals="1" fieldPosition="0"/>
    </format>
    <format dxfId="2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01DAA-46F7-4DBE-9828-2A8694A51328}" name="Tabela dinâmica - SEXO" cacheId="46" dataOnRows="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A56:B58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Feminino " fld="45" baseField="0" baseItem="0"/>
    <dataField name="Masculino" fld="46" baseField="0" baseItem="0"/>
  </dataFields>
  <formats count="2">
    <format dxfId="235">
      <pivotArea collapsedLevelsAreSubtotals="1" fieldPosition="0">
        <references count="1">
          <reference field="4294967294" count="1">
            <x v="0"/>
          </reference>
        </references>
      </pivotArea>
    </format>
    <format dxfId="236">
      <pivotArea collapsedLevelsAreSubtotals="1" fieldPosition="0">
        <references count="1">
          <reference field="4294967294" count="1">
            <x v="1"/>
          </reference>
        </references>
      </pivotArea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B0D42-AA26-44A3-9B3D-1D1EB4710772}" name="Tabela dinâmica energia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F44:G47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axis="axisRow" showAll="0">
      <items count="7">
        <item x="1"/>
        <item x="0"/>
        <item m="1" x="5"/>
        <item m="1" x="2"/>
        <item m="1" x="3"/>
        <item m="1" x="4"/>
        <item t="default"/>
      </items>
    </pivotField>
    <pivotField showAll="0"/>
    <pivotField showAll="0"/>
  </pivotFields>
  <rowFields count="1">
    <field x="65"/>
  </rowFields>
  <rowItems count="3">
    <i>
      <x/>
    </i>
    <i>
      <x v="1"/>
    </i>
    <i t="grand">
      <x/>
    </i>
  </rowItems>
  <colItems count="1">
    <i/>
  </colItems>
  <dataFields count="1">
    <dataField name="Contagem de CO_ENTIDADE" fld="7" subtotal="count" baseField="59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CE1FE-612C-4B08-BC45-50881586817B}" name="Tabela dinâmica agua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44:B47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axis="axisRow" showAll="0">
      <items count="8">
        <item x="1"/>
        <item x="0"/>
        <item m="1" x="6"/>
        <item m="1" x="2"/>
        <item m="1" x="5"/>
        <item m="1" x="3"/>
        <item m="1" x="4"/>
        <item t="default"/>
      </items>
    </pivotField>
    <pivotField showAll="0"/>
    <pivotField showAll="0"/>
    <pivotField showAll="0"/>
  </pivotFields>
  <rowFields count="1">
    <field x="64"/>
  </rowFields>
  <rowItems count="3">
    <i>
      <x/>
    </i>
    <i>
      <x v="1"/>
    </i>
    <i t="grand">
      <x/>
    </i>
  </rowItems>
  <colItems count="1">
    <i/>
  </colItems>
  <dataFields count="1">
    <dataField name="Contagem de CO_ENTIDADE" fld="7" subtotal="count" baseField="59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AA25B-8905-4D20-AF18-E3895FB10263}" name="Tabela dinâmica porte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F2:G9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axis="axisRow" showAll="0">
      <items count="8">
        <item x="0"/>
        <item x="3"/>
        <item x="2"/>
        <item x="5"/>
        <item x="4"/>
        <item x="1"/>
        <item m="1" x="6"/>
        <item t="default"/>
      </items>
    </pivotField>
    <pivotField showAll="0"/>
    <pivotField showAll="0"/>
    <pivotField showAll="0"/>
    <pivotField showAll="0"/>
  </pivotFields>
  <rowFields count="1">
    <field x="6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CO_ENTIDADE" fld="7" subtotal="count" baseField="63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AF480-5C74-4415-9571-0E4307D4C437}" name="Tabela dinâmica dependência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2:B6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m="1" x="4"/>
        <item m="1" x="3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</pivotFields>
  <rowFields count="1">
    <field x="5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O_ENTIDADE" fld="7" subtotal="count" baseField="59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C7F303-2520-4D6B-9204-57BE91DFA551}" name="Tabela dinâmica lixo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F16:G20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1"/>
        <item x="0"/>
        <item m="1" x="6"/>
        <item m="1" x="3"/>
        <item m="1" x="4"/>
        <item m="1" x="5"/>
        <item t="default"/>
      </items>
    </pivotField>
  </pivotFields>
  <rowFields count="1">
    <field x="6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O_ENTIDADE" fld="7" subtotal="count" baseField="59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36BA2-B6B6-4466-9907-D56EDFD9FDE3}" name="Tabela dinâmica esgoto" cacheId="4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A16:B20" firstHeaderRow="1" firstDataRow="1" firstDataCol="1"/>
  <pivotFields count="68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m="1" x="3"/>
        <item x="2"/>
        <item x="0"/>
        <item m="1" x="4"/>
        <item t="default"/>
      </items>
    </pivotField>
    <pivotField showAll="0">
      <items count="4">
        <item x="1"/>
        <item x="0"/>
        <item m="1" x="2"/>
        <item t="default"/>
      </items>
    </pivotField>
    <pivotField showAll="0"/>
    <pivotField showAll="0">
      <items count="3">
        <item x="0"/>
        <item h="1" x="1"/>
        <item t="default"/>
      </items>
    </pivotField>
    <pivotField showAll="0"/>
    <pivotField showAll="0"/>
    <pivotField showAll="0"/>
    <pivotField axis="axisRow" showAll="0">
      <items count="7">
        <item x="1"/>
        <item x="2"/>
        <item x="0"/>
        <item m="1" x="5"/>
        <item m="1" x="3"/>
        <item m="1" x="4"/>
        <item t="default"/>
      </items>
    </pivotField>
    <pivotField showAll="0"/>
  </pivotFields>
  <rowFields count="1">
    <field x="6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O_ENTIDADE" fld="7" subtotal="count" baseField="59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A467A66A-116C-487F-8612-42CEEF119BA6}" autoFormatId="16" applyNumberFormats="0" applyBorderFormats="0" applyFontFormats="0" applyPatternFormats="0" applyAlignmentFormats="0" applyWidthHeightFormats="0">
  <queryTableRefresh nextId="69">
    <queryTableFields count="68">
      <queryTableField id="1" name="NO_REGIAO" tableColumnId="1"/>
      <queryTableField id="2" name="NO_UF" tableColumnId="2"/>
      <queryTableField id="3" name="SG_UF" tableColumnId="3"/>
      <queryTableField id="4" name="CO_UF" tableColumnId="4"/>
      <queryTableField id="5" name="NO_MUNICIPIO" tableColumnId="5"/>
      <queryTableField id="6" name="CO_MUNICIPIO" tableColumnId="6"/>
      <queryTableField id="7" name="NO_ENTIDADE" tableColumnId="7"/>
      <queryTableField id="8" name="CO_ENTIDADE" tableColumnId="8"/>
      <queryTableField id="9" name="TP_DEPENDENCIA" tableColumnId="9"/>
      <queryTableField id="10" name="TP_LOCALIZACAO" tableColumnId="10"/>
      <queryTableField id="11" name="TP_LOCALIZACAO_DIFERENCIADA" tableColumnId="11"/>
      <queryTableField id="12" name="DS_ENDERECO" tableColumnId="12"/>
      <queryTableField id="13" name="NU_ENDERECO" tableColumnId="13"/>
      <queryTableField id="14" name="DS_COMPLEMENTO" tableColumnId="14"/>
      <queryTableField id="15" name="NO_BAIRRO" tableColumnId="15"/>
      <queryTableField id="16" name="CO_CEP" tableColumnId="16"/>
      <queryTableField id="17" name="TP_SITUACAO_FUNCIONAMENTO" tableColumnId="17"/>
      <queryTableField id="18" name="IN_AGUA_POTAVEL" tableColumnId="18"/>
      <queryTableField id="19" name="IN_AGUA_REDE_PUBLICA" tableColumnId="19"/>
      <queryTableField id="20" name="IN_AGUA_POCO_ARTESIANO" tableColumnId="20"/>
      <queryTableField id="21" name="IN_AGUA_CACIMBA" tableColumnId="21"/>
      <queryTableField id="22" name="IN_AGUA_FONTE_RIO" tableColumnId="22"/>
      <queryTableField id="23" name="IN_AGUA_INEXISTENTE" tableColumnId="23"/>
      <queryTableField id="24" name="IN_AGUA_CARRO_PIPA" tableColumnId="24"/>
      <queryTableField id="25" name="IN_ENERGIA_REDE_PUBLICA" tableColumnId="25"/>
      <queryTableField id="26" name="IN_ENERGIA_GERADOR_FOSSIL" tableColumnId="26"/>
      <queryTableField id="27" name="IN_ENERGIA_RENOVAVEL" tableColumnId="27"/>
      <queryTableField id="28" name="IN_ENERGIA_INEXISTENTE" tableColumnId="28"/>
      <queryTableField id="29" name="IN_ESGOTO_REDE_PUBLICA" tableColumnId="29"/>
      <queryTableField id="30" name="IN_ESGOTO_FOSSA_SEPTICA" tableColumnId="30"/>
      <queryTableField id="31" name="IN_ESGOTO_FOSSA_COMUM" tableColumnId="31"/>
      <queryTableField id="32" name="IN_ESGOTO_FOSSA" tableColumnId="32"/>
      <queryTableField id="33" name="IN_ESGOTO_INEXISTENTE" tableColumnId="33"/>
      <queryTableField id="34" name="IN_LIXO_SERVICO_COLETA" tableColumnId="34"/>
      <queryTableField id="35" name="IN_LIXO_QUEIMA" tableColumnId="35"/>
      <queryTableField id="36" name="IN_LIXO_ENTERRA" tableColumnId="36"/>
      <queryTableField id="37" name="IN_LIXO_DESTINO_FINAL_PUBLICO" tableColumnId="37"/>
      <queryTableField id="38" name="IN_LIXO_DESCARTA_OUTRA_AREA" tableColumnId="38"/>
      <queryTableField id="39" name="QT_MAT_BAS" tableColumnId="39"/>
      <queryTableField id="40" name="QT_MAT_INF" tableColumnId="40"/>
      <queryTableField id="41" name="QT_MAT_FUND" tableColumnId="41"/>
      <queryTableField id="42" name="QT_MAT_MED" tableColumnId="42"/>
      <queryTableField id="43" name="QT_MAT_PROF" tableColumnId="43"/>
      <queryTableField id="44" name="QT_MAT_EJA" tableColumnId="44"/>
      <queryTableField id="45" name="QT_MAT_ESP" tableColumnId="45"/>
      <queryTableField id="46" name="QT_MAT_BAS_FEM" tableColumnId="46"/>
      <queryTableField id="47" name="QT_MAT_BAS_MASC" tableColumnId="47"/>
      <queryTableField id="48" name="QT_MAT_BAS_ND" tableColumnId="48"/>
      <queryTableField id="49" name="QT_MAT_BAS_BRANCA" tableColumnId="49"/>
      <queryTableField id="50" name="QT_MAT_BAS_PRETA" tableColumnId="50"/>
      <queryTableField id="51" name="QT_MAT_BAS_PARDA" tableColumnId="51"/>
      <queryTableField id="52" name="QT_MAT_BAS_AMARELA" tableColumnId="52"/>
      <queryTableField id="53" name="QT_MAT_BAS_INDIGENA" tableColumnId="53"/>
      <queryTableField id="54" name="QT_MAT_BAS_0_3" tableColumnId="54"/>
      <queryTableField id="55" name="QT_MAT_BAS_4_5" tableColumnId="55"/>
      <queryTableField id="56" name="QT_MAT_BAS_6_10" tableColumnId="56"/>
      <queryTableField id="57" name="QT_MAT_BAS_11_14" tableColumnId="57"/>
      <queryTableField id="58" name="QT_MAT_BAS_15_17" tableColumnId="58"/>
      <queryTableField id="59" name="QT_MAT_BAS_18_MAIS" tableColumnId="59"/>
      <queryTableField id="60" name="DEPENDENCIA" tableColumnId="60"/>
      <queryTableField id="61" name="LOCALIZACAO" tableColumnId="61"/>
      <queryTableField id="62" name="LOC_DIFERENCIADA" tableColumnId="62"/>
      <queryTableField id="63" name="SITUACAO" tableColumnId="63"/>
      <queryTableField id="64" name="TAMANHO_ESCOLA" tableColumnId="64"/>
      <queryTableField id="65" name="AGUA" tableColumnId="65"/>
      <queryTableField id="66" name="ENERGIA" tableColumnId="66"/>
      <queryTableField id="67" name="ESGOTO" tableColumnId="67"/>
      <queryTableField id="68" name="LIXO" tableColumnId="6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OCALIZACAO" xr10:uid="{38F81858-C24E-414A-B4B4-094C9E1963AB}" sourceName="LOCALIZACAO">
  <pivotTables>
    <pivotTable tabId="5" name="Tabela dinâmica porte"/>
    <pivotTable tabId="5" name="Tabela dinâmica dependência"/>
    <pivotTable tabId="5" name="Tabela dinâmica agua"/>
    <pivotTable tabId="5" name="Tabela dinâmica energia"/>
    <pivotTable tabId="5" name="Tabela dinâmica - SEXO"/>
    <pivotTable tabId="5" name="Tabela dinâmica esgoto"/>
    <pivotTable tabId="5" name="Tabela dinâmica lixo"/>
    <pivotTable tabId="5" name="Tabela dinâmica5"/>
    <pivotTable tabId="5" name="Tabela dinâmica6"/>
  </pivotTables>
  <data>
    <tabular pivotCacheId="281999765">
      <items count="3">
        <i x="1" s="1"/>
        <i x="0" s="1"/>
        <i x="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EPENDENCIA" xr10:uid="{B03A2109-611F-4962-823D-BF524E41B2CE}" sourceName="DEPENDENCIA">
  <pivotTables>
    <pivotTable tabId="5" name="Tabela dinâmica dependência"/>
    <pivotTable tabId="5" name="Tabela dinâmica - SEXO"/>
    <pivotTable tabId="5" name="Tabela dinâmica agua"/>
    <pivotTable tabId="5" name="Tabela dinâmica energia"/>
    <pivotTable tabId="5" name="Tabela dinâmica esgoto"/>
    <pivotTable tabId="5" name="Tabela dinâmica lixo"/>
    <pivotTable tabId="5" name="Tabela dinâmica porte"/>
    <pivotTable tabId="5" name="Tabela dinâmica5"/>
    <pivotTable tabId="5" name="Tabela dinâmica6"/>
  </pivotTables>
  <data>
    <tabular pivotCacheId="281999765">
      <items count="5">
        <i x="1" s="1"/>
        <i x="2" s="1"/>
        <i x="0" s="1"/>
        <i x="3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OCALIZACAO" xr10:uid="{E0BAF046-64AC-453A-A19D-C07302A67667}" cache="SegmentaçãodeDados_LOCALIZACAO" caption="LOCALIZACAO" style="SlicerStyleLight3" rowHeight="241300"/>
  <slicer name="DEPENDENCIA" xr10:uid="{E7DD4A47-1EAB-4DDC-AB92-9AF3658EB196}" cache="SegmentaçãodeDados_DEPENDENCIA" caption="DEPENDENCIA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ltroMunicipio" displayName="FiltroMunicipio" ref="A8:B9">
  <autoFilter ref="A8:B9" xr:uid="{00000000-0009-0000-0100-000001000000}"/>
  <tableColumns count="2">
    <tableColumn id="1" xr3:uid="{00000000-0010-0000-0000-000001000000}" name="SG_UF"/>
    <tableColumn id="2" xr3:uid="{00000000-0010-0000-0000-000002000000}" name="NO_MUNICIPIO">
      <calculatedColumnFormula>$B$3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75BEBD-9356-445F-8C04-E622B1DE8D6C}" name="DadosTratados" displayName="DadosTratados" ref="A1:BP144" tableType="queryTable" totalsRowShown="0" headerRowDxfId="239" dataDxfId="238" tableBorderDxfId="237">
  <autoFilter ref="A1:BP144" xr:uid="{FB75BEBD-9356-445F-8C04-E622B1DE8D6C}"/>
  <tableColumns count="68">
    <tableColumn id="1" xr3:uid="{9706692B-0FCF-471A-AA22-F48C9A32A622}" uniqueName="1" name="NO_REGIAO" queryTableFieldId="1"/>
    <tableColumn id="2" xr3:uid="{648F2578-2104-4355-BE04-956B8EDE99C0}" uniqueName="2" name="NO_UF" queryTableFieldId="2"/>
    <tableColumn id="3" xr3:uid="{9E485494-86F6-451B-B33A-2862845E6FFB}" uniqueName="3" name="SG_UF" queryTableFieldId="3" dataDxfId="48"/>
    <tableColumn id="4" xr3:uid="{3B304E7A-5BC4-42B8-888E-738E2451A74D}" uniqueName="4" name="CO_UF" queryTableFieldId="4"/>
    <tableColumn id="5" xr3:uid="{0328F313-AF8E-4F12-9544-FDAE01617205}" uniqueName="5" name="NO_MUNICIPIO" queryTableFieldId="5" dataDxfId="47"/>
    <tableColumn id="6" xr3:uid="{D3746C64-956D-4262-A665-CAF5CC567BB3}" uniqueName="6" name="CO_MUNICIPIO" queryTableFieldId="6"/>
    <tableColumn id="7" xr3:uid="{E36F335E-F07C-4D14-A897-E6B6BB570634}" uniqueName="7" name="NO_ENTIDADE" queryTableFieldId="7"/>
    <tableColumn id="8" xr3:uid="{7C120944-73A7-4F60-B4F8-617B4821E883}" uniqueName="8" name="CO_ENTIDADE" queryTableFieldId="8"/>
    <tableColumn id="9" xr3:uid="{51C2AEEC-0F7B-4482-B494-234460957B0C}" uniqueName="9" name="TP_DEPENDENCIA" queryTableFieldId="9"/>
    <tableColumn id="10" xr3:uid="{A45F5068-9D62-49C0-BD91-D7EEF3835EC4}" uniqueName="10" name="TP_LOCALIZACAO" queryTableFieldId="10"/>
    <tableColumn id="11" xr3:uid="{91EA19D1-4496-480C-BC4E-67C8CA8554A0}" uniqueName="11" name="TP_LOCALIZACAO_DIFERENCIADA" queryTableFieldId="11"/>
    <tableColumn id="12" xr3:uid="{748E0537-4E18-408E-AB6F-0F6AC8FC0C33}" uniqueName="12" name="DS_ENDERECO" queryTableFieldId="12"/>
    <tableColumn id="13" xr3:uid="{7177EF17-019D-4709-AA2D-3CF093F72102}" uniqueName="13" name="NU_ENDERECO" queryTableFieldId="13"/>
    <tableColumn id="14" xr3:uid="{C66E559F-A378-4D09-918C-5D4B1DB83623}" uniqueName="14" name="DS_COMPLEMENTO" queryTableFieldId="14"/>
    <tableColumn id="15" xr3:uid="{180BC0CF-E80D-482F-976F-A4FB504A1275}" uniqueName="15" name="NO_BAIRRO" queryTableFieldId="15"/>
    <tableColumn id="16" xr3:uid="{A6CDE4EA-D086-4CE4-96F1-2655C04FD28C}" uniqueName="16" name="CO_CEP" queryTableFieldId="16"/>
    <tableColumn id="17" xr3:uid="{BD9A99AB-93F0-4A36-96BE-7D5A6AC6C304}" uniqueName="17" name="TP_SITUACAO_FUNCIONAMENTO" queryTableFieldId="17"/>
    <tableColumn id="18" xr3:uid="{02FC82B5-2576-4564-AB1A-3E9BA31850F1}" uniqueName="18" name="IN_AGUA_POTAVEL" queryTableFieldId="18"/>
    <tableColumn id="19" xr3:uid="{1D3E1CFA-6A14-4B2B-9EDC-1968284BD02D}" uniqueName="19" name="IN_AGUA_REDE_PUBLICA" queryTableFieldId="19"/>
    <tableColumn id="20" xr3:uid="{F8E72A3B-9C99-4543-8E16-6C3523065358}" uniqueName="20" name="IN_AGUA_POCO_ARTESIANO" queryTableFieldId="20"/>
    <tableColumn id="21" xr3:uid="{D1988422-1766-42F7-B6DD-0D11BF718B97}" uniqueName="21" name="IN_AGUA_CACIMBA" queryTableFieldId="21"/>
    <tableColumn id="22" xr3:uid="{429EE16A-8602-4E42-BEF8-31B6CFA4E17A}" uniqueName="22" name="IN_AGUA_FONTE_RIO" queryTableFieldId="22"/>
    <tableColumn id="23" xr3:uid="{CDB3F966-5C66-4891-AC70-39BD4FF7364A}" uniqueName="23" name="IN_AGUA_INEXISTENTE" queryTableFieldId="23"/>
    <tableColumn id="24" xr3:uid="{631B71C9-92C1-454E-803B-C1072BECE0BB}" uniqueName="24" name="IN_AGUA_CARRO_PIPA" queryTableFieldId="24"/>
    <tableColumn id="25" xr3:uid="{7B99F486-FAFE-4813-AA9C-C49AC9407EDE}" uniqueName="25" name="IN_ENERGIA_REDE_PUBLICA" queryTableFieldId="25"/>
    <tableColumn id="26" xr3:uid="{0B3B8256-26D7-4F15-803A-697A5A9ED3A2}" uniqueName="26" name="IN_ENERGIA_GERADOR_FOSSIL" queryTableFieldId="26"/>
    <tableColumn id="27" xr3:uid="{9C5AC500-1F93-455B-AE98-FB165773998B}" uniqueName="27" name="IN_ENERGIA_RENOVAVEL" queryTableFieldId="27"/>
    <tableColumn id="28" xr3:uid="{807B4FDA-6F6E-45C8-B17E-D704306E37F5}" uniqueName="28" name="IN_ENERGIA_INEXISTENTE" queryTableFieldId="28"/>
    <tableColumn id="29" xr3:uid="{A1CE69D8-E7A2-4645-830C-42FF339B4FF8}" uniqueName="29" name="IN_ESGOTO_REDE_PUBLICA" queryTableFieldId="29"/>
    <tableColumn id="30" xr3:uid="{75345941-ACDF-47A5-8747-4B7A9599ABF5}" uniqueName="30" name="IN_ESGOTO_FOSSA_SEPTICA" queryTableFieldId="30"/>
    <tableColumn id="31" xr3:uid="{50CAFB49-A661-4A15-A1AF-BEC2754311F3}" uniqueName="31" name="IN_ESGOTO_FOSSA_COMUM" queryTableFieldId="31"/>
    <tableColumn id="32" xr3:uid="{37567676-3F06-42EB-BE44-62BEA8EC7FEE}" uniqueName="32" name="IN_ESGOTO_FOSSA" queryTableFieldId="32"/>
    <tableColumn id="33" xr3:uid="{60950F79-37E1-4BF0-B935-8E360FD9C2FF}" uniqueName="33" name="IN_ESGOTO_INEXISTENTE" queryTableFieldId="33"/>
    <tableColumn id="34" xr3:uid="{75479976-B459-47F5-8044-6A08400E5DB0}" uniqueName="34" name="IN_LIXO_SERVICO_COLETA" queryTableFieldId="34"/>
    <tableColumn id="35" xr3:uid="{159E2D4B-CA61-4B36-B6A0-0A272C86A368}" uniqueName="35" name="IN_LIXO_QUEIMA" queryTableFieldId="35"/>
    <tableColumn id="36" xr3:uid="{C5A0FF07-6246-4B93-A302-02DC1E769C5F}" uniqueName="36" name="IN_LIXO_ENTERRA" queryTableFieldId="36"/>
    <tableColumn id="37" xr3:uid="{2790472D-2980-4C9B-85B5-6EA6E7ED8DE2}" uniqueName="37" name="IN_LIXO_DESTINO_FINAL_PUBLICO" queryTableFieldId="37"/>
    <tableColumn id="38" xr3:uid="{6862CA4C-7E97-4E9C-A8EC-A3FF12CFA77E}" uniqueName="38" name="IN_LIXO_DESCARTA_OUTRA_AREA" queryTableFieldId="38"/>
    <tableColumn id="39" xr3:uid="{A4559076-5789-4DA5-BBA4-FCAB5D29F1D6}" uniqueName="39" name="QT_MAT_BAS" queryTableFieldId="39"/>
    <tableColumn id="40" xr3:uid="{F44DCB24-519C-466D-98BA-2CEFC3994A37}" uniqueName="40" name="QT_MAT_INF" queryTableFieldId="40"/>
    <tableColumn id="41" xr3:uid="{6B9BA2F9-DC3F-4BEE-AC63-E68F062883A2}" uniqueName="41" name="QT_MAT_FUND" queryTableFieldId="41"/>
    <tableColumn id="42" xr3:uid="{72266C1F-CC6A-4F20-8DA4-29F6F198166D}" uniqueName="42" name="QT_MAT_MED" queryTableFieldId="42"/>
    <tableColumn id="43" xr3:uid="{9CFA2289-DBEE-4CE9-BEBE-6F7E1E789899}" uniqueName="43" name="QT_MAT_PROF" queryTableFieldId="43"/>
    <tableColumn id="44" xr3:uid="{DAB8E168-5074-4CB9-8E40-6E012BFBE27E}" uniqueName="44" name="QT_MAT_EJA" queryTableFieldId="44"/>
    <tableColumn id="45" xr3:uid="{2B24C151-401B-4859-8D47-0E8096B2BFF0}" uniqueName="45" name="QT_MAT_ESP" queryTableFieldId="45"/>
    <tableColumn id="46" xr3:uid="{8CB70FC7-1246-42A1-8C30-333F1BB6665E}" uniqueName="46" name="QT_MAT_BAS_FEM" queryTableFieldId="46"/>
    <tableColumn id="47" xr3:uid="{E9A04155-9E77-46F0-8CA0-C041AC7AF767}" uniqueName="47" name="QT_MAT_BAS_MASC" queryTableFieldId="47"/>
    <tableColumn id="48" xr3:uid="{200E9B4C-C25C-48A7-BA12-231EF0BC43A3}" uniqueName="48" name="QT_MAT_BAS_ND" queryTableFieldId="48"/>
    <tableColumn id="49" xr3:uid="{52D8296A-280D-42F6-830F-8208B14DB93A}" uniqueName="49" name="QT_MAT_BAS_BRANCA" queryTableFieldId="49"/>
    <tableColumn id="50" xr3:uid="{894B675A-F8B7-41AF-9FE6-8D523F65E21B}" uniqueName="50" name="QT_MAT_BAS_PRETA" queryTableFieldId="50"/>
    <tableColumn id="51" xr3:uid="{EA06C0AA-2317-4001-B62A-B9FFBFEB9EF5}" uniqueName="51" name="QT_MAT_BAS_PARDA" queryTableFieldId="51"/>
    <tableColumn id="52" xr3:uid="{BAC3ADC7-42E3-4EF4-B669-2AF024AF22C5}" uniqueName="52" name="QT_MAT_BAS_AMARELA" queryTableFieldId="52"/>
    <tableColumn id="53" xr3:uid="{97C2B94B-4A83-4D88-B9F4-1141261D6560}" uniqueName="53" name="QT_MAT_BAS_INDIGENA" queryTableFieldId="53"/>
    <tableColumn id="54" xr3:uid="{0AAF81C5-F209-4B4D-8F15-8BACD7F75C0D}" uniqueName="54" name="QT_MAT_BAS_0_3" queryTableFieldId="54"/>
    <tableColumn id="55" xr3:uid="{5E3AC5DC-D441-4E53-A235-E4291B107E62}" uniqueName="55" name="QT_MAT_BAS_4_5" queryTableFieldId="55"/>
    <tableColumn id="56" xr3:uid="{9F5C290A-38AC-450C-AAE2-D481EA506A91}" uniqueName="56" name="QT_MAT_BAS_6_10" queryTableFieldId="56"/>
    <tableColumn id="57" xr3:uid="{9064B7A6-C30D-4718-9A6F-FBE9843F7811}" uniqueName="57" name="QT_MAT_BAS_11_14" queryTableFieldId="57"/>
    <tableColumn id="58" xr3:uid="{1F487361-12CD-4D3D-9DD9-6530FEE476F3}" uniqueName="58" name="QT_MAT_BAS_15_17" queryTableFieldId="58"/>
    <tableColumn id="59" xr3:uid="{4DB0A5A7-94B0-4CB7-87ED-9866D8B937EC}" uniqueName="59" name="QT_MAT_BAS_18_MAIS" queryTableFieldId="59"/>
    <tableColumn id="60" xr3:uid="{E626F62B-8E40-4E10-BB4B-C3126AD215C0}" uniqueName="60" name="DEPENDENCIA" queryTableFieldId="60"/>
    <tableColumn id="61" xr3:uid="{17C41602-6FD2-453F-83B9-FE491B669CC9}" uniqueName="61" name="LOCALIZACAO" queryTableFieldId="61"/>
    <tableColumn id="62" xr3:uid="{02FD6C8E-C804-4A25-A5D8-2CE0488AF687}" uniqueName="62" name="LOC_DIFERENCIADA" queryTableFieldId="62"/>
    <tableColumn id="63" xr3:uid="{BF061495-20E4-4DAA-8C4B-DBC36E5083E6}" uniqueName="63" name="SITUACAO" queryTableFieldId="63"/>
    <tableColumn id="64" xr3:uid="{4A90FCBD-A766-45F1-B7F4-B90050EEBB5E}" uniqueName="64" name="TAMANHO_ESCOLA" queryTableFieldId="64" dataDxfId="46"/>
    <tableColumn id="65" xr3:uid="{FED2C85F-665C-47B7-8166-027D6E9557E3}" uniqueName="65" name="AGUA" queryTableFieldId="65" dataDxfId="45"/>
    <tableColumn id="66" xr3:uid="{897D723B-823A-44FB-AB7B-6E9D5A00EF31}" uniqueName="66" name="ENERGIA" queryTableFieldId="66" dataDxfId="44"/>
    <tableColumn id="67" xr3:uid="{F3479234-49AE-42F0-8E4E-464E4F7BE23B}" uniqueName="67" name="ESGOTO" queryTableFieldId="67" dataDxfId="43"/>
    <tableColumn id="68" xr3:uid="{3B112E82-536E-43C6-8D94-EB1957321807}" uniqueName="68" name="LIXO" queryTableFieldId="68" dataDxfId="4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showGridLines="0" tabSelected="1" zoomScale="59" zoomScaleNormal="59" workbookViewId="0">
      <pane ySplit="3" topLeftCell="A8" activePane="bottomLeft" state="frozen"/>
      <selection pane="bottomLeft" activeCell="E5" sqref="E5:F5"/>
    </sheetView>
  </sheetViews>
  <sheetFormatPr defaultRowHeight="15" x14ac:dyDescent="0.25"/>
  <cols>
    <col min="1" max="1" width="15.7109375" bestFit="1" customWidth="1"/>
    <col min="2" max="2" width="26.140625" bestFit="1" customWidth="1"/>
    <col min="3" max="3" width="17" customWidth="1"/>
    <col min="4" max="4" width="18" bestFit="1" customWidth="1"/>
    <col min="5" max="5" width="26.140625" bestFit="1" customWidth="1"/>
    <col min="6" max="6" width="31.140625" bestFit="1" customWidth="1"/>
    <col min="7" max="8" width="17" customWidth="1"/>
  </cols>
  <sheetData>
    <row r="1" spans="1:17" ht="33.950000000000003" customHeight="1" x14ac:dyDescent="0.25">
      <c r="A1" s="13" t="str">
        <f>"Painel do Censo Escolar 2024 — "&amp;Filtro_Municipio!B3&amp;" ("&amp;Filtro_Municipio!B2&amp;")"</f>
        <v>Painel do Censo Escolar 2024 — Rio Claro (SP)</v>
      </c>
      <c r="B1" s="12"/>
      <c r="C1" s="12"/>
      <c r="D1" s="12"/>
      <c r="E1" s="12"/>
      <c r="F1" s="12"/>
      <c r="G1" s="12"/>
      <c r="H1" s="12"/>
      <c r="I1" s="5"/>
      <c r="J1" s="5"/>
      <c r="K1" s="5"/>
      <c r="L1" s="5"/>
      <c r="M1" s="5"/>
      <c r="N1" s="5"/>
      <c r="O1" s="5"/>
      <c r="P1" s="5"/>
      <c r="Q1" s="5"/>
    </row>
    <row r="2" spans="1:17" ht="21" x14ac:dyDescent="0.35">
      <c r="A2" s="14" t="s">
        <v>0</v>
      </c>
      <c r="B2" s="15"/>
      <c r="C2" s="15"/>
      <c r="D2" s="15"/>
      <c r="E2" s="15"/>
      <c r="F2" s="15"/>
      <c r="G2" s="15"/>
      <c r="H2" s="15"/>
      <c r="I2" s="5"/>
      <c r="J2" s="5"/>
      <c r="K2" s="5"/>
      <c r="L2" s="5"/>
      <c r="M2" s="5"/>
      <c r="N2" s="5"/>
      <c r="O2" s="5"/>
      <c r="P2" s="5"/>
      <c r="Q2" s="5"/>
    </row>
    <row r="3" spans="1:17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x14ac:dyDescent="0.25">
      <c r="A4" s="11" t="s">
        <v>1</v>
      </c>
      <c r="B4" s="12"/>
      <c r="C4" s="11" t="s">
        <v>2</v>
      </c>
      <c r="D4" s="12"/>
      <c r="E4" s="11" t="s">
        <v>3</v>
      </c>
      <c r="F4" s="12"/>
      <c r="G4" s="11" t="s">
        <v>4</v>
      </c>
      <c r="H4" s="12"/>
      <c r="I4" s="5"/>
      <c r="J4" s="5"/>
      <c r="K4" s="5"/>
      <c r="L4" s="5"/>
      <c r="M4" s="5"/>
      <c r="N4" s="5"/>
      <c r="O4" s="5"/>
      <c r="P4" s="5"/>
      <c r="Q4" s="5"/>
    </row>
    <row r="5" spans="1:17" ht="23.25" x14ac:dyDescent="0.35">
      <c r="A5" s="17">
        <f>COUNT(DadosTratados!$H:$H)</f>
        <v>143</v>
      </c>
      <c r="B5" s="12"/>
      <c r="C5" s="17">
        <f>COUNTIF(DadosTratados!$BK:$BK,"Ativa")</f>
        <v>122</v>
      </c>
      <c r="D5" s="12"/>
      <c r="E5" s="17">
        <f>SUM(DadosTratados!$AM:$AM)</f>
        <v>43081</v>
      </c>
      <c r="F5" s="12"/>
      <c r="G5" s="17">
        <f>COUNTIF(DadosTratados!$I:$I,1)+COUNTIF(DadosTratados!$I:$I,2)+COUNTIF(DadosTratados!$I:$I,3)</f>
        <v>101</v>
      </c>
      <c r="H5" s="12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x14ac:dyDescent="0.25"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25"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A26" s="5"/>
      <c r="B26" s="5"/>
      <c r="C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5">
      <c r="A27" s="5"/>
      <c r="B27" s="5"/>
      <c r="C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5"/>
      <c r="B28" s="5"/>
      <c r="C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3"/>
      <c r="B34" s="16"/>
      <c r="C34" s="12"/>
      <c r="D34" s="12"/>
      <c r="E34" s="12"/>
      <c r="F34" s="12"/>
      <c r="G34" s="12"/>
      <c r="H34" s="12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B35" s="12"/>
      <c r="C35" s="12"/>
      <c r="D35" s="12"/>
      <c r="E35" s="12"/>
      <c r="F35" s="12"/>
      <c r="G35" s="12"/>
      <c r="H35" s="12"/>
    </row>
    <row r="41" spans="1:17" x14ac:dyDescent="0.25">
      <c r="A41" s="3"/>
      <c r="B41" s="16"/>
      <c r="C41" s="12"/>
      <c r="D41" s="12"/>
      <c r="E41" s="12"/>
      <c r="F41" s="12"/>
      <c r="G41" s="12"/>
      <c r="H41" s="12"/>
    </row>
    <row r="42" spans="1:17" x14ac:dyDescent="0.25">
      <c r="B42" s="12"/>
      <c r="C42" s="12"/>
      <c r="D42" s="12"/>
      <c r="E42" s="12"/>
      <c r="F42" s="12"/>
      <c r="G42" s="12"/>
      <c r="H42" s="12"/>
    </row>
  </sheetData>
  <mergeCells count="12">
    <mergeCell ref="B41:H42"/>
    <mergeCell ref="C5:D5"/>
    <mergeCell ref="A5:B5"/>
    <mergeCell ref="G5:H5"/>
    <mergeCell ref="E5:F5"/>
    <mergeCell ref="B34:H35"/>
    <mergeCell ref="A4:B4"/>
    <mergeCell ref="G4:H4"/>
    <mergeCell ref="E4:F4"/>
    <mergeCell ref="A1:H1"/>
    <mergeCell ref="A2:H2"/>
    <mergeCell ref="C4:D4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0C21-3096-496C-831D-7AEA3549C926}">
  <dimension ref="A1:H58"/>
  <sheetViews>
    <sheetView topLeftCell="A46" zoomScale="91" zoomScaleNormal="91" workbookViewId="0">
      <selection activeCell="A57" sqref="A57"/>
    </sheetView>
  </sheetViews>
  <sheetFormatPr defaultRowHeight="15" x14ac:dyDescent="0.25"/>
  <cols>
    <col min="1" max="1" width="26.5703125" bestFit="1" customWidth="1"/>
    <col min="2" max="2" width="26.140625" bestFit="1" customWidth="1"/>
    <col min="4" max="4" width="21.85546875" bestFit="1" customWidth="1"/>
    <col min="5" max="5" width="26.140625" bestFit="1" customWidth="1"/>
    <col min="6" max="6" width="35.42578125" bestFit="1" customWidth="1"/>
    <col min="7" max="7" width="26.140625" bestFit="1" customWidth="1"/>
    <col min="8" max="8" width="14.42578125" customWidth="1"/>
    <col min="9" max="9" width="28" bestFit="1" customWidth="1"/>
  </cols>
  <sheetData>
    <row r="1" spans="1:7" x14ac:dyDescent="0.25">
      <c r="A1" s="20" t="s">
        <v>573</v>
      </c>
      <c r="B1" s="20"/>
      <c r="F1" s="19" t="s">
        <v>574</v>
      </c>
      <c r="G1" s="19"/>
    </row>
    <row r="2" spans="1:7" x14ac:dyDescent="0.25">
      <c r="A2" s="8" t="s">
        <v>570</v>
      </c>
      <c r="B2" t="s">
        <v>572</v>
      </c>
      <c r="F2" s="8" t="s">
        <v>570</v>
      </c>
      <c r="G2" t="s">
        <v>572</v>
      </c>
    </row>
    <row r="3" spans="1:7" x14ac:dyDescent="0.25">
      <c r="A3" s="9" t="s">
        <v>8</v>
      </c>
      <c r="B3" s="27">
        <v>34</v>
      </c>
      <c r="F3" s="9" t="s">
        <v>13</v>
      </c>
      <c r="G3" s="27">
        <v>23</v>
      </c>
    </row>
    <row r="4" spans="1:7" x14ac:dyDescent="0.25">
      <c r="A4" s="9" t="s">
        <v>10</v>
      </c>
      <c r="B4" s="27">
        <v>67</v>
      </c>
      <c r="F4" s="9" t="s">
        <v>11</v>
      </c>
      <c r="G4" s="27">
        <v>38</v>
      </c>
    </row>
    <row r="5" spans="1:7" x14ac:dyDescent="0.25">
      <c r="A5" s="9" t="s">
        <v>12</v>
      </c>
      <c r="B5" s="27">
        <v>42</v>
      </c>
      <c r="F5" s="9" t="s">
        <v>7</v>
      </c>
      <c r="G5" s="27">
        <v>14</v>
      </c>
    </row>
    <row r="6" spans="1:7" x14ac:dyDescent="0.25">
      <c r="A6" s="9" t="s">
        <v>571</v>
      </c>
      <c r="B6" s="27">
        <v>143</v>
      </c>
      <c r="F6" s="9" t="s">
        <v>14</v>
      </c>
      <c r="G6" s="27">
        <v>7</v>
      </c>
    </row>
    <row r="7" spans="1:7" x14ac:dyDescent="0.25">
      <c r="F7" s="9" t="s">
        <v>15</v>
      </c>
      <c r="G7" s="27">
        <v>21</v>
      </c>
    </row>
    <row r="8" spans="1:7" x14ac:dyDescent="0.25">
      <c r="F8" s="9" t="s">
        <v>9</v>
      </c>
      <c r="G8" s="27">
        <v>40</v>
      </c>
    </row>
    <row r="9" spans="1:7" x14ac:dyDescent="0.25">
      <c r="F9" s="9" t="s">
        <v>571</v>
      </c>
      <c r="G9" s="27">
        <v>143</v>
      </c>
    </row>
    <row r="15" spans="1:7" x14ac:dyDescent="0.25">
      <c r="A15" s="10" t="s">
        <v>576</v>
      </c>
      <c r="B15" s="10"/>
      <c r="F15" s="18" t="s">
        <v>577</v>
      </c>
      <c r="G15" s="18"/>
    </row>
    <row r="16" spans="1:7" x14ac:dyDescent="0.25">
      <c r="A16" s="8" t="s">
        <v>570</v>
      </c>
      <c r="B16" t="s">
        <v>572</v>
      </c>
      <c r="F16" s="8" t="s">
        <v>570</v>
      </c>
      <c r="G16" t="s">
        <v>572</v>
      </c>
    </row>
    <row r="17" spans="1:7" x14ac:dyDescent="0.25">
      <c r="A17" s="9" t="s">
        <v>113</v>
      </c>
      <c r="B17" s="27">
        <v>2</v>
      </c>
      <c r="F17" s="9" t="s">
        <v>464</v>
      </c>
      <c r="G17" s="27">
        <v>1</v>
      </c>
    </row>
    <row r="18" spans="1:7" x14ac:dyDescent="0.25">
      <c r="A18" s="9" t="s">
        <v>15</v>
      </c>
      <c r="B18" s="27">
        <v>21</v>
      </c>
      <c r="F18" s="9" t="s">
        <v>15</v>
      </c>
      <c r="G18" s="27">
        <v>21</v>
      </c>
    </row>
    <row r="19" spans="1:7" x14ac:dyDescent="0.25">
      <c r="A19" s="9" t="s">
        <v>100</v>
      </c>
      <c r="B19" s="27">
        <v>120</v>
      </c>
      <c r="F19" s="9" t="s">
        <v>101</v>
      </c>
      <c r="G19" s="27">
        <v>121</v>
      </c>
    </row>
    <row r="20" spans="1:7" x14ac:dyDescent="0.25">
      <c r="A20" s="9" t="s">
        <v>571</v>
      </c>
      <c r="B20" s="27">
        <v>143</v>
      </c>
      <c r="F20" s="9" t="s">
        <v>571</v>
      </c>
      <c r="G20" s="27">
        <v>143</v>
      </c>
    </row>
    <row r="28" spans="1:7" x14ac:dyDescent="0.25">
      <c r="A28" s="31" t="s">
        <v>580</v>
      </c>
      <c r="B28" s="32"/>
      <c r="F28" s="29" t="s">
        <v>581</v>
      </c>
      <c r="G28" s="30"/>
    </row>
    <row r="29" spans="1:7" x14ac:dyDescent="0.25">
      <c r="A29" s="8" t="s">
        <v>582</v>
      </c>
      <c r="F29" s="8" t="s">
        <v>582</v>
      </c>
    </row>
    <row r="30" spans="1:7" x14ac:dyDescent="0.25">
      <c r="A30" s="28" t="s">
        <v>585</v>
      </c>
      <c r="B30" s="6">
        <v>4027</v>
      </c>
      <c r="F30" s="28" t="s">
        <v>591</v>
      </c>
      <c r="G30" s="6">
        <v>9411</v>
      </c>
    </row>
    <row r="31" spans="1:7" x14ac:dyDescent="0.25">
      <c r="A31" s="28" t="s">
        <v>586</v>
      </c>
      <c r="B31" s="6">
        <v>28582</v>
      </c>
      <c r="F31" s="28" t="s">
        <v>592</v>
      </c>
      <c r="G31" s="6">
        <v>22664</v>
      </c>
    </row>
    <row r="32" spans="1:7" x14ac:dyDescent="0.25">
      <c r="A32" s="28" t="s">
        <v>587</v>
      </c>
      <c r="B32" s="6">
        <v>1287</v>
      </c>
      <c r="F32" s="28" t="s">
        <v>593</v>
      </c>
      <c r="G32" s="6">
        <v>8998</v>
      </c>
    </row>
    <row r="33" spans="1:7" x14ac:dyDescent="0.25">
      <c r="A33" s="28" t="s">
        <v>588</v>
      </c>
      <c r="B33" s="6">
        <v>9060</v>
      </c>
      <c r="F33" s="28" t="s">
        <v>594</v>
      </c>
      <c r="G33" s="6">
        <v>2161</v>
      </c>
    </row>
    <row r="34" spans="1:7" x14ac:dyDescent="0.25">
      <c r="A34" s="28" t="s">
        <v>589</v>
      </c>
      <c r="B34" s="6">
        <v>99</v>
      </c>
      <c r="F34" s="28" t="s">
        <v>595</v>
      </c>
      <c r="G34" s="6">
        <v>712</v>
      </c>
    </row>
    <row r="35" spans="1:7" x14ac:dyDescent="0.25">
      <c r="A35" s="28" t="s">
        <v>590</v>
      </c>
      <c r="B35" s="6">
        <v>26</v>
      </c>
      <c r="F35" s="28" t="s">
        <v>596</v>
      </c>
      <c r="G35" s="6">
        <v>1483</v>
      </c>
    </row>
    <row r="43" spans="1:7" x14ac:dyDescent="0.25">
      <c r="A43" s="21" t="s">
        <v>575</v>
      </c>
      <c r="B43" s="21"/>
      <c r="F43" s="22" t="s">
        <v>578</v>
      </c>
      <c r="G43" s="22"/>
    </row>
    <row r="44" spans="1:7" x14ac:dyDescent="0.25">
      <c r="A44" s="8" t="s">
        <v>570</v>
      </c>
      <c r="B44" t="s">
        <v>572</v>
      </c>
      <c r="F44" s="8" t="s">
        <v>570</v>
      </c>
      <c r="G44" t="s">
        <v>572</v>
      </c>
    </row>
    <row r="45" spans="1:7" x14ac:dyDescent="0.25">
      <c r="A45" s="9" t="s">
        <v>15</v>
      </c>
      <c r="B45" s="27">
        <v>21</v>
      </c>
      <c r="F45" s="9" t="s">
        <v>15</v>
      </c>
      <c r="G45" s="27">
        <v>21</v>
      </c>
    </row>
    <row r="46" spans="1:7" x14ac:dyDescent="0.25">
      <c r="A46" s="9" t="s">
        <v>100</v>
      </c>
      <c r="B46" s="27">
        <v>122</v>
      </c>
      <c r="F46" s="9" t="s">
        <v>100</v>
      </c>
      <c r="G46" s="27">
        <v>122</v>
      </c>
    </row>
    <row r="47" spans="1:7" x14ac:dyDescent="0.25">
      <c r="A47" s="9" t="s">
        <v>571</v>
      </c>
      <c r="B47" s="27">
        <v>143</v>
      </c>
      <c r="F47" s="9" t="s">
        <v>571</v>
      </c>
      <c r="G47" s="27">
        <v>143</v>
      </c>
    </row>
    <row r="55" spans="1:2" x14ac:dyDescent="0.25">
      <c r="A55" s="26" t="s">
        <v>579</v>
      </c>
      <c r="B55" s="26"/>
    </row>
    <row r="56" spans="1:2" x14ac:dyDescent="0.25">
      <c r="A56" s="8" t="s">
        <v>582</v>
      </c>
    </row>
    <row r="57" spans="1:2" x14ac:dyDescent="0.25">
      <c r="A57" s="9" t="s">
        <v>584</v>
      </c>
      <c r="B57" s="6">
        <v>21172</v>
      </c>
    </row>
    <row r="58" spans="1:2" x14ac:dyDescent="0.25">
      <c r="A58" s="9" t="s">
        <v>583</v>
      </c>
      <c r="B58" s="6">
        <v>21909</v>
      </c>
    </row>
  </sheetData>
  <mergeCells count="7">
    <mergeCell ref="A28:B28"/>
    <mergeCell ref="A55:B55"/>
    <mergeCell ref="F1:G1"/>
    <mergeCell ref="A1:B1"/>
    <mergeCell ref="A43:B43"/>
    <mergeCell ref="F43:G43"/>
    <mergeCell ref="F15:G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pane ySplit="7" topLeftCell="A8" activePane="bottomLeft" state="frozen"/>
      <selection pane="bottomLeft" activeCell="B4" sqref="B4"/>
    </sheetView>
  </sheetViews>
  <sheetFormatPr defaultRowHeight="15" x14ac:dyDescent="0.25"/>
  <cols>
    <col min="1" max="1" width="47" customWidth="1"/>
    <col min="2" max="2" width="74.85546875" customWidth="1"/>
    <col min="3" max="3" width="20" customWidth="1"/>
  </cols>
  <sheetData>
    <row r="1" spans="1:3" ht="21" x14ac:dyDescent="0.25">
      <c r="A1" s="23" t="s">
        <v>16</v>
      </c>
      <c r="B1" s="24"/>
      <c r="C1" s="24"/>
    </row>
    <row r="2" spans="1:3" x14ac:dyDescent="0.25">
      <c r="A2" s="3" t="s">
        <v>17</v>
      </c>
      <c r="B2" s="4" t="s">
        <v>18</v>
      </c>
    </row>
    <row r="3" spans="1:3" x14ac:dyDescent="0.25">
      <c r="A3" s="3" t="s">
        <v>19</v>
      </c>
      <c r="B3" s="4" t="s">
        <v>20</v>
      </c>
    </row>
    <row r="5" spans="1:3" x14ac:dyDescent="0.25">
      <c r="A5" s="3" t="s">
        <v>21</v>
      </c>
      <c r="B5" s="4" t="s">
        <v>569</v>
      </c>
    </row>
    <row r="7" spans="1:3" x14ac:dyDescent="0.25">
      <c r="A7" s="3" t="s">
        <v>22</v>
      </c>
    </row>
    <row r="8" spans="1:3" x14ac:dyDescent="0.25">
      <c r="A8" s="3" t="s">
        <v>23</v>
      </c>
      <c r="B8" s="3" t="s">
        <v>24</v>
      </c>
    </row>
    <row r="9" spans="1:3" x14ac:dyDescent="0.25">
      <c r="A9" t="str">
        <f>B2</f>
        <v>SP</v>
      </c>
      <c r="B9" t="str">
        <f>$B$3</f>
        <v>Rio Claro</v>
      </c>
    </row>
  </sheetData>
  <mergeCells count="1">
    <mergeCell ref="A1:C1"/>
  </mergeCells>
  <dataValidations count="1">
    <dataValidation type="list" sqref="B2" xr:uid="{00000000-0002-0000-0100-000000000000}">
      <formula1>"AC,AL,AP,AM,BA,CE,DF,ES,GO,MA,MT,MS,MG,PA,PB,PR,PE,PI,RJ,RN,RS,RO,RR,SC,SP,SE,TO"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4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9.5703125" bestFit="1" customWidth="1"/>
    <col min="3" max="3" width="9.140625" bestFit="1" customWidth="1"/>
    <col min="4" max="4" width="9.28515625" bestFit="1" customWidth="1"/>
    <col min="5" max="5" width="17.42578125" bestFit="1" customWidth="1"/>
    <col min="6" max="6" width="17.140625" bestFit="1" customWidth="1"/>
    <col min="7" max="7" width="75.85546875" bestFit="1" customWidth="1"/>
    <col min="8" max="8" width="15.85546875" bestFit="1" customWidth="1"/>
    <col min="9" max="9" width="19.140625" bestFit="1" customWidth="1"/>
    <col min="10" max="10" width="18.85546875" bestFit="1" customWidth="1"/>
    <col min="11" max="11" width="33.42578125" bestFit="1" customWidth="1"/>
    <col min="12" max="12" width="44.140625" bestFit="1" customWidth="1"/>
    <col min="13" max="13" width="16.7109375" bestFit="1" customWidth="1"/>
    <col min="14" max="14" width="21.7109375" bestFit="1" customWidth="1"/>
    <col min="15" max="15" width="40.42578125" bestFit="1" customWidth="1"/>
    <col min="16" max="16" width="10.140625" bestFit="1" customWidth="1"/>
    <col min="17" max="17" width="33.7109375" bestFit="1" customWidth="1"/>
    <col min="18" max="18" width="21" bestFit="1" customWidth="1"/>
    <col min="19" max="19" width="26.140625" bestFit="1" customWidth="1"/>
    <col min="20" max="20" width="29.5703125" bestFit="1" customWidth="1"/>
    <col min="21" max="21" width="21.42578125" bestFit="1" customWidth="1"/>
    <col min="22" max="22" width="23" bestFit="1" customWidth="1"/>
    <col min="23" max="23" width="24.28515625" bestFit="1" customWidth="1"/>
    <col min="24" max="24" width="24.42578125" bestFit="1" customWidth="1"/>
    <col min="25" max="25" width="28.7109375" bestFit="1" customWidth="1"/>
    <col min="26" max="26" width="31.28515625" bestFit="1" customWidth="1"/>
    <col min="27" max="27" width="26.28515625" bestFit="1" customWidth="1"/>
    <col min="28" max="28" width="26.7109375" bestFit="1" customWidth="1"/>
    <col min="29" max="29" width="28.140625" bestFit="1" customWidth="1"/>
    <col min="30" max="30" width="29" bestFit="1" customWidth="1"/>
    <col min="31" max="31" width="29.5703125" bestFit="1" customWidth="1"/>
    <col min="32" max="32" width="20.5703125" bestFit="1" customWidth="1"/>
    <col min="33" max="33" width="26.140625" bestFit="1" customWidth="1"/>
    <col min="34" max="34" width="27" bestFit="1" customWidth="1"/>
    <col min="35" max="35" width="19" bestFit="1" customWidth="1"/>
    <col min="36" max="36" width="19.5703125" bestFit="1" customWidth="1"/>
    <col min="37" max="37" width="34.5703125" bestFit="1" customWidth="1"/>
    <col min="38" max="38" width="34.140625" bestFit="1" customWidth="1"/>
    <col min="39" max="39" width="15.42578125" bestFit="1" customWidth="1"/>
    <col min="40" max="40" width="14.85546875" bestFit="1" customWidth="1"/>
    <col min="41" max="41" width="17.140625" bestFit="1" customWidth="1"/>
    <col min="42" max="42" width="16.140625" bestFit="1" customWidth="1"/>
    <col min="43" max="43" width="16.7109375" bestFit="1" customWidth="1"/>
    <col min="44" max="44" width="14.85546875" bestFit="1" customWidth="1"/>
    <col min="45" max="45" width="15" bestFit="1" customWidth="1"/>
    <col min="46" max="46" width="20.42578125" bestFit="1" customWidth="1"/>
    <col min="47" max="47" width="21.85546875" bestFit="1" customWidth="1"/>
    <col min="48" max="48" width="19.140625" bestFit="1" customWidth="1"/>
    <col min="49" max="49" width="24.140625" bestFit="1" customWidth="1"/>
    <col min="50" max="50" width="22.140625" bestFit="1" customWidth="1"/>
    <col min="51" max="51" width="22.7109375" bestFit="1" customWidth="1"/>
    <col min="52" max="52" width="25.42578125" bestFit="1" customWidth="1"/>
    <col min="53" max="53" width="25.7109375" bestFit="1" customWidth="1"/>
    <col min="54" max="55" width="19.5703125" bestFit="1" customWidth="1"/>
    <col min="56" max="56" width="20.5703125" bestFit="1" customWidth="1"/>
    <col min="57" max="58" width="21.5703125" bestFit="1" customWidth="1"/>
    <col min="59" max="59" width="24.42578125" bestFit="1" customWidth="1"/>
    <col min="60" max="60" width="16" bestFit="1" customWidth="1"/>
    <col min="61" max="61" width="15.7109375" bestFit="1" customWidth="1"/>
    <col min="62" max="62" width="21" bestFit="1" customWidth="1"/>
    <col min="63" max="63" width="12.42578125" bestFit="1" customWidth="1"/>
    <col min="64" max="64" width="20.85546875" bestFit="1" customWidth="1"/>
    <col min="65" max="67" width="14.42578125" bestFit="1" customWidth="1"/>
    <col min="68" max="68" width="21.85546875" bestFit="1" customWidth="1"/>
  </cols>
  <sheetData>
    <row r="1" spans="1:68" x14ac:dyDescent="0.25">
      <c r="A1" s="7" t="s">
        <v>25</v>
      </c>
      <c r="B1" s="7" t="s">
        <v>26</v>
      </c>
      <c r="C1" s="7" t="s">
        <v>23</v>
      </c>
      <c r="D1" s="7" t="s">
        <v>27</v>
      </c>
      <c r="E1" s="7" t="s">
        <v>24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7" t="s">
        <v>43</v>
      </c>
      <c r="V1" s="7" t="s">
        <v>44</v>
      </c>
      <c r="W1" s="7" t="s">
        <v>45</v>
      </c>
      <c r="X1" s="7" t="s">
        <v>46</v>
      </c>
      <c r="Y1" s="7" t="s">
        <v>47</v>
      </c>
      <c r="Z1" s="7" t="s">
        <v>48</v>
      </c>
      <c r="AA1" s="7" t="s">
        <v>49</v>
      </c>
      <c r="AB1" s="7" t="s">
        <v>50</v>
      </c>
      <c r="AC1" s="7" t="s">
        <v>51</v>
      </c>
      <c r="AD1" s="7" t="s">
        <v>52</v>
      </c>
      <c r="AE1" s="7" t="s">
        <v>53</v>
      </c>
      <c r="AF1" s="7" t="s">
        <v>54</v>
      </c>
      <c r="AG1" s="7" t="s">
        <v>55</v>
      </c>
      <c r="AH1" s="7" t="s">
        <v>56</v>
      </c>
      <c r="AI1" s="7" t="s">
        <v>57</v>
      </c>
      <c r="AJ1" s="7" t="s">
        <v>58</v>
      </c>
      <c r="AK1" s="7" t="s">
        <v>59</v>
      </c>
      <c r="AL1" s="7" t="s">
        <v>60</v>
      </c>
      <c r="AM1" s="7" t="s">
        <v>61</v>
      </c>
      <c r="AN1" s="7" t="s">
        <v>62</v>
      </c>
      <c r="AO1" s="7" t="s">
        <v>63</v>
      </c>
      <c r="AP1" s="7" t="s">
        <v>64</v>
      </c>
      <c r="AQ1" s="7" t="s">
        <v>65</v>
      </c>
      <c r="AR1" s="7" t="s">
        <v>66</v>
      </c>
      <c r="AS1" s="7" t="s">
        <v>67</v>
      </c>
      <c r="AT1" s="7" t="s">
        <v>68</v>
      </c>
      <c r="AU1" s="7" t="s">
        <v>69</v>
      </c>
      <c r="AV1" s="7" t="s">
        <v>70</v>
      </c>
      <c r="AW1" s="7" t="s">
        <v>71</v>
      </c>
      <c r="AX1" s="7" t="s">
        <v>72</v>
      </c>
      <c r="AY1" s="7" t="s">
        <v>73</v>
      </c>
      <c r="AZ1" s="7" t="s">
        <v>74</v>
      </c>
      <c r="BA1" s="7" t="s">
        <v>75</v>
      </c>
      <c r="BB1" s="7" t="s">
        <v>76</v>
      </c>
      <c r="BC1" s="7" t="s">
        <v>77</v>
      </c>
      <c r="BD1" s="7" t="s">
        <v>78</v>
      </c>
      <c r="BE1" s="7" t="s">
        <v>79</v>
      </c>
      <c r="BF1" s="7" t="s">
        <v>80</v>
      </c>
      <c r="BG1" s="7" t="s">
        <v>81</v>
      </c>
      <c r="BH1" s="7" t="s">
        <v>82</v>
      </c>
      <c r="BI1" s="7" t="s">
        <v>83</v>
      </c>
      <c r="BJ1" s="7" t="s">
        <v>84</v>
      </c>
      <c r="BK1" s="7" t="s">
        <v>85</v>
      </c>
      <c r="BL1" s="7" t="s">
        <v>86</v>
      </c>
      <c r="BM1" s="7" t="s">
        <v>87</v>
      </c>
      <c r="BN1" s="7" t="s">
        <v>88</v>
      </c>
      <c r="BO1" s="7" t="s">
        <v>89</v>
      </c>
      <c r="BP1" s="7" t="s">
        <v>90</v>
      </c>
    </row>
    <row r="2" spans="1:68" x14ac:dyDescent="0.25">
      <c r="A2" t="s">
        <v>91</v>
      </c>
      <c r="B2" t="s">
        <v>92</v>
      </c>
      <c r="C2" s="34" t="s">
        <v>18</v>
      </c>
      <c r="D2">
        <v>35</v>
      </c>
      <c r="E2" s="34" t="s">
        <v>20</v>
      </c>
      <c r="F2">
        <v>3543907</v>
      </c>
      <c r="G2" t="s">
        <v>93</v>
      </c>
      <c r="H2">
        <v>35004193</v>
      </c>
      <c r="I2">
        <v>4</v>
      </c>
      <c r="J2">
        <v>1</v>
      </c>
      <c r="K2">
        <v>0</v>
      </c>
      <c r="L2" t="s">
        <v>94</v>
      </c>
      <c r="M2" t="s">
        <v>95</v>
      </c>
      <c r="O2" t="s">
        <v>96</v>
      </c>
      <c r="P2">
        <v>13500220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750</v>
      </c>
      <c r="AN2">
        <v>106</v>
      </c>
      <c r="AO2">
        <v>527</v>
      </c>
      <c r="AP2">
        <v>117</v>
      </c>
      <c r="AQ2">
        <v>0</v>
      </c>
      <c r="AR2">
        <v>0</v>
      </c>
      <c r="AS2">
        <v>17</v>
      </c>
      <c r="AT2">
        <v>382</v>
      </c>
      <c r="AU2">
        <v>368</v>
      </c>
      <c r="AV2">
        <v>42</v>
      </c>
      <c r="AW2">
        <v>678</v>
      </c>
      <c r="AX2">
        <v>8</v>
      </c>
      <c r="AY2">
        <v>22</v>
      </c>
      <c r="AZ2">
        <v>0</v>
      </c>
      <c r="BA2">
        <v>0</v>
      </c>
      <c r="BB2">
        <v>38</v>
      </c>
      <c r="BC2">
        <v>59</v>
      </c>
      <c r="BD2">
        <v>260</v>
      </c>
      <c r="BE2">
        <v>268</v>
      </c>
      <c r="BF2">
        <v>123</v>
      </c>
      <c r="BG2">
        <v>2</v>
      </c>
      <c r="BH2" t="s">
        <v>12</v>
      </c>
      <c r="BI2" t="s">
        <v>97</v>
      </c>
      <c r="BJ2" t="s">
        <v>98</v>
      </c>
      <c r="BK2" t="s">
        <v>99</v>
      </c>
      <c r="BL2" s="34" t="s">
        <v>13</v>
      </c>
      <c r="BM2" s="34" t="s">
        <v>100</v>
      </c>
      <c r="BN2" s="34" t="s">
        <v>100</v>
      </c>
      <c r="BO2" s="34" t="s">
        <v>100</v>
      </c>
      <c r="BP2" s="34" t="s">
        <v>101</v>
      </c>
    </row>
    <row r="3" spans="1:68" x14ac:dyDescent="0.25">
      <c r="A3" t="s">
        <v>91</v>
      </c>
      <c r="B3" t="s">
        <v>92</v>
      </c>
      <c r="C3" s="33" t="s">
        <v>18</v>
      </c>
      <c r="D3">
        <v>35</v>
      </c>
      <c r="E3" s="33" t="s">
        <v>20</v>
      </c>
      <c r="F3">
        <v>3543907</v>
      </c>
      <c r="G3" t="s">
        <v>102</v>
      </c>
      <c r="H3">
        <v>35004940</v>
      </c>
      <c r="I3">
        <v>4</v>
      </c>
      <c r="J3">
        <v>1</v>
      </c>
      <c r="K3">
        <v>0</v>
      </c>
      <c r="L3" t="s">
        <v>103</v>
      </c>
      <c r="M3" t="s">
        <v>104</v>
      </c>
      <c r="O3" t="s">
        <v>96</v>
      </c>
      <c r="P3">
        <v>13500250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186</v>
      </c>
      <c r="AN3">
        <v>54</v>
      </c>
      <c r="AO3">
        <v>132</v>
      </c>
      <c r="AP3">
        <v>0</v>
      </c>
      <c r="AQ3">
        <v>0</v>
      </c>
      <c r="AR3">
        <v>0</v>
      </c>
      <c r="AS3">
        <v>3</v>
      </c>
      <c r="AT3">
        <v>80</v>
      </c>
      <c r="AU3">
        <v>106</v>
      </c>
      <c r="AV3">
        <v>30</v>
      </c>
      <c r="AW3">
        <v>141</v>
      </c>
      <c r="AX3">
        <v>1</v>
      </c>
      <c r="AY3">
        <v>12</v>
      </c>
      <c r="AZ3">
        <v>2</v>
      </c>
      <c r="BA3">
        <v>0</v>
      </c>
      <c r="BB3">
        <v>0</v>
      </c>
      <c r="BC3">
        <v>52</v>
      </c>
      <c r="BD3">
        <v>133</v>
      </c>
      <c r="BE3">
        <v>1</v>
      </c>
      <c r="BF3">
        <v>0</v>
      </c>
      <c r="BG3">
        <v>0</v>
      </c>
      <c r="BH3" t="s">
        <v>12</v>
      </c>
      <c r="BI3" t="s">
        <v>97</v>
      </c>
      <c r="BJ3" t="s">
        <v>98</v>
      </c>
      <c r="BK3" t="s">
        <v>99</v>
      </c>
      <c r="BL3" s="33" t="s">
        <v>9</v>
      </c>
      <c r="BM3" s="33" t="s">
        <v>100</v>
      </c>
      <c r="BN3" s="33" t="s">
        <v>100</v>
      </c>
      <c r="BO3" s="33" t="s">
        <v>100</v>
      </c>
      <c r="BP3" s="33" t="s">
        <v>101</v>
      </c>
    </row>
    <row r="4" spans="1:68" x14ac:dyDescent="0.25">
      <c r="A4" t="s">
        <v>91</v>
      </c>
      <c r="B4" t="s">
        <v>92</v>
      </c>
      <c r="C4" s="33" t="s">
        <v>18</v>
      </c>
      <c r="D4">
        <v>35</v>
      </c>
      <c r="E4" s="33" t="s">
        <v>20</v>
      </c>
      <c r="F4">
        <v>3543907</v>
      </c>
      <c r="G4" t="s">
        <v>109</v>
      </c>
      <c r="H4">
        <v>35005166</v>
      </c>
      <c r="I4">
        <v>2</v>
      </c>
      <c r="J4">
        <v>1</v>
      </c>
      <c r="K4">
        <v>0</v>
      </c>
      <c r="L4" t="s">
        <v>110</v>
      </c>
      <c r="M4" t="s">
        <v>111</v>
      </c>
      <c r="O4" t="s">
        <v>112</v>
      </c>
      <c r="P4">
        <v>13506752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18</v>
      </c>
      <c r="AN4">
        <v>18</v>
      </c>
      <c r="AO4">
        <v>0</v>
      </c>
      <c r="AP4">
        <v>0</v>
      </c>
      <c r="AQ4">
        <v>0</v>
      </c>
      <c r="AR4">
        <v>0</v>
      </c>
      <c r="AS4">
        <v>0</v>
      </c>
      <c r="AT4">
        <v>7</v>
      </c>
      <c r="AU4">
        <v>11</v>
      </c>
      <c r="AV4">
        <v>0</v>
      </c>
      <c r="AW4">
        <v>18</v>
      </c>
      <c r="AX4">
        <v>0</v>
      </c>
      <c r="AY4">
        <v>0</v>
      </c>
      <c r="AZ4">
        <v>0</v>
      </c>
      <c r="BA4">
        <v>0</v>
      </c>
      <c r="BB4">
        <v>18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8</v>
      </c>
      <c r="BI4" t="s">
        <v>97</v>
      </c>
      <c r="BJ4" t="s">
        <v>98</v>
      </c>
      <c r="BK4" t="s">
        <v>99</v>
      </c>
      <c r="BL4" s="33" t="s">
        <v>7</v>
      </c>
      <c r="BM4" s="33" t="s">
        <v>100</v>
      </c>
      <c r="BN4" s="33" t="s">
        <v>100</v>
      </c>
      <c r="BO4" s="33" t="s">
        <v>113</v>
      </c>
      <c r="BP4" s="33" t="s">
        <v>101</v>
      </c>
    </row>
    <row r="5" spans="1:68" x14ac:dyDescent="0.25">
      <c r="A5" t="s">
        <v>91</v>
      </c>
      <c r="B5" t="s">
        <v>92</v>
      </c>
      <c r="C5" s="33" t="s">
        <v>18</v>
      </c>
      <c r="D5">
        <v>35</v>
      </c>
      <c r="E5" s="33" t="s">
        <v>20</v>
      </c>
      <c r="F5">
        <v>3543907</v>
      </c>
      <c r="G5" t="s">
        <v>105</v>
      </c>
      <c r="H5">
        <v>35005006</v>
      </c>
      <c r="I5">
        <v>3</v>
      </c>
      <c r="J5">
        <v>1</v>
      </c>
      <c r="K5">
        <v>0</v>
      </c>
      <c r="L5" t="s">
        <v>106</v>
      </c>
      <c r="M5" t="s">
        <v>107</v>
      </c>
      <c r="O5" t="s">
        <v>108</v>
      </c>
      <c r="P5">
        <v>13503719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151</v>
      </c>
      <c r="AN5">
        <v>151</v>
      </c>
      <c r="AO5">
        <v>0</v>
      </c>
      <c r="AP5">
        <v>0</v>
      </c>
      <c r="AQ5">
        <v>0</v>
      </c>
      <c r="AR5">
        <v>0</v>
      </c>
      <c r="AS5">
        <v>6</v>
      </c>
      <c r="AT5">
        <v>82</v>
      </c>
      <c r="AU5">
        <v>69</v>
      </c>
      <c r="AV5">
        <v>4</v>
      </c>
      <c r="AW5">
        <v>106</v>
      </c>
      <c r="AX5">
        <v>10</v>
      </c>
      <c r="AY5">
        <v>31</v>
      </c>
      <c r="AZ5">
        <v>0</v>
      </c>
      <c r="BA5">
        <v>0</v>
      </c>
      <c r="BB5">
        <v>103</v>
      </c>
      <c r="BC5">
        <v>44</v>
      </c>
      <c r="BD5">
        <v>4</v>
      </c>
      <c r="BE5">
        <v>0</v>
      </c>
      <c r="BF5">
        <v>0</v>
      </c>
      <c r="BG5">
        <v>0</v>
      </c>
      <c r="BH5" t="s">
        <v>10</v>
      </c>
      <c r="BI5" t="s">
        <v>97</v>
      </c>
      <c r="BJ5" t="s">
        <v>98</v>
      </c>
      <c r="BK5" t="s">
        <v>99</v>
      </c>
      <c r="BL5" s="33" t="s">
        <v>9</v>
      </c>
      <c r="BM5" s="33" t="s">
        <v>100</v>
      </c>
      <c r="BN5" s="33" t="s">
        <v>100</v>
      </c>
      <c r="BO5" s="33" t="s">
        <v>100</v>
      </c>
      <c r="BP5" s="33" t="s">
        <v>101</v>
      </c>
    </row>
    <row r="6" spans="1:68" x14ac:dyDescent="0.25">
      <c r="A6" t="s">
        <v>91</v>
      </c>
      <c r="B6" t="s">
        <v>92</v>
      </c>
      <c r="C6" s="33" t="s">
        <v>18</v>
      </c>
      <c r="D6">
        <v>35</v>
      </c>
      <c r="E6" s="33" t="s">
        <v>20</v>
      </c>
      <c r="F6">
        <v>3543907</v>
      </c>
      <c r="G6" t="s">
        <v>114</v>
      </c>
      <c r="H6">
        <v>35005440</v>
      </c>
      <c r="I6">
        <v>3</v>
      </c>
      <c r="J6">
        <v>1</v>
      </c>
      <c r="K6">
        <v>0</v>
      </c>
      <c r="L6" t="s">
        <v>115</v>
      </c>
      <c r="M6" t="s">
        <v>116</v>
      </c>
      <c r="O6" t="s">
        <v>117</v>
      </c>
      <c r="P6">
        <v>13502740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124</v>
      </c>
      <c r="AN6">
        <v>124</v>
      </c>
      <c r="AO6">
        <v>0</v>
      </c>
      <c r="AP6">
        <v>0</v>
      </c>
      <c r="AQ6">
        <v>0</v>
      </c>
      <c r="AR6">
        <v>0</v>
      </c>
      <c r="AS6">
        <v>3</v>
      </c>
      <c r="AT6">
        <v>57</v>
      </c>
      <c r="AU6">
        <v>67</v>
      </c>
      <c r="AV6">
        <v>6</v>
      </c>
      <c r="AW6">
        <v>64</v>
      </c>
      <c r="AX6">
        <v>8</v>
      </c>
      <c r="AY6">
        <v>46</v>
      </c>
      <c r="AZ6">
        <v>0</v>
      </c>
      <c r="BA6">
        <v>0</v>
      </c>
      <c r="BB6">
        <v>118</v>
      </c>
      <c r="BC6">
        <v>6</v>
      </c>
      <c r="BD6">
        <v>0</v>
      </c>
      <c r="BE6">
        <v>0</v>
      </c>
      <c r="BF6">
        <v>0</v>
      </c>
      <c r="BG6">
        <v>0</v>
      </c>
      <c r="BH6" t="s">
        <v>10</v>
      </c>
      <c r="BI6" t="s">
        <v>97</v>
      </c>
      <c r="BJ6" t="s">
        <v>98</v>
      </c>
      <c r="BK6" t="s">
        <v>99</v>
      </c>
      <c r="BL6" s="33" t="s">
        <v>9</v>
      </c>
      <c r="BM6" s="33" t="s">
        <v>100</v>
      </c>
      <c r="BN6" s="33" t="s">
        <v>100</v>
      </c>
      <c r="BO6" s="33" t="s">
        <v>100</v>
      </c>
      <c r="BP6" s="33" t="s">
        <v>101</v>
      </c>
    </row>
    <row r="7" spans="1:68" x14ac:dyDescent="0.25">
      <c r="A7" t="s">
        <v>91</v>
      </c>
      <c r="B7" t="s">
        <v>92</v>
      </c>
      <c r="C7" s="33" t="s">
        <v>18</v>
      </c>
      <c r="D7">
        <v>35</v>
      </c>
      <c r="E7" s="33" t="s">
        <v>20</v>
      </c>
      <c r="F7">
        <v>3543907</v>
      </c>
      <c r="G7" t="s">
        <v>118</v>
      </c>
      <c r="H7">
        <v>35005971</v>
      </c>
      <c r="I7">
        <v>3</v>
      </c>
      <c r="J7">
        <v>1</v>
      </c>
      <c r="K7">
        <v>0</v>
      </c>
      <c r="L7" t="s">
        <v>119</v>
      </c>
      <c r="M7" t="s">
        <v>120</v>
      </c>
      <c r="O7" t="s">
        <v>121</v>
      </c>
      <c r="P7">
        <v>13502760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411</v>
      </c>
      <c r="AN7">
        <v>0</v>
      </c>
      <c r="AO7">
        <v>396</v>
      </c>
      <c r="AP7">
        <v>0</v>
      </c>
      <c r="AQ7">
        <v>0</v>
      </c>
      <c r="AR7">
        <v>15</v>
      </c>
      <c r="AS7">
        <v>13</v>
      </c>
      <c r="AT7">
        <v>204</v>
      </c>
      <c r="AU7">
        <v>207</v>
      </c>
      <c r="AV7">
        <v>43</v>
      </c>
      <c r="AW7">
        <v>214</v>
      </c>
      <c r="AX7">
        <v>9</v>
      </c>
      <c r="AY7">
        <v>145</v>
      </c>
      <c r="AZ7">
        <v>0</v>
      </c>
      <c r="BA7">
        <v>0</v>
      </c>
      <c r="BB7">
        <v>0</v>
      </c>
      <c r="BC7">
        <v>0</v>
      </c>
      <c r="BD7">
        <v>379</v>
      </c>
      <c r="BE7">
        <v>17</v>
      </c>
      <c r="BF7">
        <v>0</v>
      </c>
      <c r="BG7">
        <v>15</v>
      </c>
      <c r="BH7" t="s">
        <v>10</v>
      </c>
      <c r="BI7" t="s">
        <v>97</v>
      </c>
      <c r="BJ7" t="s">
        <v>98</v>
      </c>
      <c r="BK7" t="s">
        <v>99</v>
      </c>
      <c r="BL7" s="33" t="s">
        <v>11</v>
      </c>
      <c r="BM7" s="33" t="s">
        <v>100</v>
      </c>
      <c r="BN7" s="33" t="s">
        <v>100</v>
      </c>
      <c r="BO7" s="33" t="s">
        <v>100</v>
      </c>
      <c r="BP7" s="33" t="s">
        <v>101</v>
      </c>
    </row>
    <row r="8" spans="1:68" x14ac:dyDescent="0.25">
      <c r="A8" t="s">
        <v>91</v>
      </c>
      <c r="B8" t="s">
        <v>92</v>
      </c>
      <c r="C8" s="33" t="s">
        <v>18</v>
      </c>
      <c r="D8">
        <v>35</v>
      </c>
      <c r="E8" s="33" t="s">
        <v>20</v>
      </c>
      <c r="F8">
        <v>3543907</v>
      </c>
      <c r="G8" t="s">
        <v>122</v>
      </c>
      <c r="H8">
        <v>35006329</v>
      </c>
      <c r="I8">
        <v>3</v>
      </c>
      <c r="J8">
        <v>1</v>
      </c>
      <c r="K8">
        <v>0</v>
      </c>
      <c r="L8" t="s">
        <v>123</v>
      </c>
      <c r="M8" t="s">
        <v>124</v>
      </c>
      <c r="O8" t="s">
        <v>125</v>
      </c>
      <c r="P8">
        <v>13505018</v>
      </c>
      <c r="Q8">
        <v>1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73</v>
      </c>
      <c r="AN8">
        <v>73</v>
      </c>
      <c r="AO8">
        <v>0</v>
      </c>
      <c r="AP8">
        <v>0</v>
      </c>
      <c r="AQ8">
        <v>0</v>
      </c>
      <c r="AR8">
        <v>0</v>
      </c>
      <c r="AS8">
        <v>2</v>
      </c>
      <c r="AT8">
        <v>34</v>
      </c>
      <c r="AU8">
        <v>39</v>
      </c>
      <c r="AV8">
        <v>27</v>
      </c>
      <c r="AW8">
        <v>38</v>
      </c>
      <c r="AX8">
        <v>3</v>
      </c>
      <c r="AY8">
        <v>5</v>
      </c>
      <c r="AZ8">
        <v>0</v>
      </c>
      <c r="BA8">
        <v>0</v>
      </c>
      <c r="BB8">
        <v>73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10</v>
      </c>
      <c r="BI8" t="s">
        <v>97</v>
      </c>
      <c r="BJ8" t="s">
        <v>98</v>
      </c>
      <c r="BK8" t="s">
        <v>99</v>
      </c>
      <c r="BL8" s="33" t="s">
        <v>9</v>
      </c>
      <c r="BM8" s="33" t="s">
        <v>100</v>
      </c>
      <c r="BN8" s="33" t="s">
        <v>100</v>
      </c>
      <c r="BO8" s="33" t="s">
        <v>100</v>
      </c>
      <c r="BP8" s="33" t="s">
        <v>101</v>
      </c>
    </row>
    <row r="9" spans="1:68" x14ac:dyDescent="0.25">
      <c r="A9" t="s">
        <v>91</v>
      </c>
      <c r="B9" t="s">
        <v>92</v>
      </c>
      <c r="C9" s="33" t="s">
        <v>18</v>
      </c>
      <c r="D9">
        <v>35</v>
      </c>
      <c r="E9" s="33" t="s">
        <v>20</v>
      </c>
      <c r="F9">
        <v>3543907</v>
      </c>
      <c r="G9" t="s">
        <v>126</v>
      </c>
      <c r="H9">
        <v>35007056</v>
      </c>
      <c r="I9">
        <v>4</v>
      </c>
      <c r="J9">
        <v>1</v>
      </c>
      <c r="K9">
        <v>0</v>
      </c>
      <c r="L9" t="s">
        <v>127</v>
      </c>
      <c r="M9" t="s">
        <v>128</v>
      </c>
      <c r="O9" t="s">
        <v>129</v>
      </c>
      <c r="P9">
        <v>13501388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321</v>
      </c>
      <c r="AN9">
        <v>55</v>
      </c>
      <c r="AO9">
        <v>266</v>
      </c>
      <c r="AP9">
        <v>0</v>
      </c>
      <c r="AQ9">
        <v>0</v>
      </c>
      <c r="AR9">
        <v>0</v>
      </c>
      <c r="AS9">
        <v>5</v>
      </c>
      <c r="AT9">
        <v>146</v>
      </c>
      <c r="AU9">
        <v>175</v>
      </c>
      <c r="AV9">
        <v>14</v>
      </c>
      <c r="AW9">
        <v>281</v>
      </c>
      <c r="AX9">
        <v>8</v>
      </c>
      <c r="AY9">
        <v>18</v>
      </c>
      <c r="AZ9">
        <v>0</v>
      </c>
      <c r="BA9">
        <v>0</v>
      </c>
      <c r="BB9">
        <v>8</v>
      </c>
      <c r="BC9">
        <v>37</v>
      </c>
      <c r="BD9">
        <v>162</v>
      </c>
      <c r="BE9">
        <v>111</v>
      </c>
      <c r="BF9">
        <v>3</v>
      </c>
      <c r="BG9">
        <v>0</v>
      </c>
      <c r="BH9" t="s">
        <v>12</v>
      </c>
      <c r="BI9" t="s">
        <v>97</v>
      </c>
      <c r="BJ9" t="s">
        <v>98</v>
      </c>
      <c r="BK9" t="s">
        <v>99</v>
      </c>
      <c r="BL9" s="33" t="s">
        <v>11</v>
      </c>
      <c r="BM9" s="33" t="s">
        <v>100</v>
      </c>
      <c r="BN9" s="33" t="s">
        <v>100</v>
      </c>
      <c r="BO9" s="33" t="s">
        <v>100</v>
      </c>
      <c r="BP9" s="33" t="s">
        <v>101</v>
      </c>
    </row>
    <row r="10" spans="1:68" x14ac:dyDescent="0.25">
      <c r="A10" t="s">
        <v>91</v>
      </c>
      <c r="B10" t="s">
        <v>92</v>
      </c>
      <c r="C10" s="33" t="s">
        <v>18</v>
      </c>
      <c r="D10">
        <v>35</v>
      </c>
      <c r="E10" s="33" t="s">
        <v>20</v>
      </c>
      <c r="F10">
        <v>3543907</v>
      </c>
      <c r="G10" t="s">
        <v>130</v>
      </c>
      <c r="H10">
        <v>35007338</v>
      </c>
      <c r="I10">
        <v>3</v>
      </c>
      <c r="J10">
        <v>1</v>
      </c>
      <c r="K10">
        <v>0</v>
      </c>
      <c r="L10" t="s">
        <v>131</v>
      </c>
      <c r="M10" t="s">
        <v>132</v>
      </c>
      <c r="O10" t="s">
        <v>133</v>
      </c>
      <c r="P10">
        <v>13504188</v>
      </c>
      <c r="Q10">
        <v>1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44</v>
      </c>
      <c r="AN10">
        <v>44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27</v>
      </c>
      <c r="AU10">
        <v>17</v>
      </c>
      <c r="AV10">
        <v>6</v>
      </c>
      <c r="AW10">
        <v>32</v>
      </c>
      <c r="AX10">
        <v>1</v>
      </c>
      <c r="AY10">
        <v>5</v>
      </c>
      <c r="AZ10">
        <v>0</v>
      </c>
      <c r="BA10">
        <v>0</v>
      </c>
      <c r="BB10">
        <v>44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10</v>
      </c>
      <c r="BI10" t="s">
        <v>97</v>
      </c>
      <c r="BJ10" t="s">
        <v>98</v>
      </c>
      <c r="BK10" t="s">
        <v>99</v>
      </c>
      <c r="BL10" s="33" t="s">
        <v>7</v>
      </c>
      <c r="BM10" s="33" t="s">
        <v>100</v>
      </c>
      <c r="BN10" s="33" t="s">
        <v>100</v>
      </c>
      <c r="BO10" s="33" t="s">
        <v>100</v>
      </c>
      <c r="BP10" s="33" t="s">
        <v>101</v>
      </c>
    </row>
    <row r="11" spans="1:68" x14ac:dyDescent="0.25">
      <c r="A11" t="s">
        <v>91</v>
      </c>
      <c r="B11" t="s">
        <v>92</v>
      </c>
      <c r="C11" s="33" t="s">
        <v>18</v>
      </c>
      <c r="D11">
        <v>35</v>
      </c>
      <c r="E11" s="33" t="s">
        <v>20</v>
      </c>
      <c r="F11">
        <v>3543907</v>
      </c>
      <c r="G11" t="s">
        <v>134</v>
      </c>
      <c r="H11">
        <v>35007339</v>
      </c>
      <c r="I11">
        <v>3</v>
      </c>
      <c r="J11">
        <v>1</v>
      </c>
      <c r="K11">
        <v>0</v>
      </c>
      <c r="L11" t="s">
        <v>135</v>
      </c>
      <c r="M11" t="s">
        <v>136</v>
      </c>
      <c r="O11" t="s">
        <v>137</v>
      </c>
      <c r="P11">
        <v>13504824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116</v>
      </c>
      <c r="AN11">
        <v>116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70</v>
      </c>
      <c r="AU11">
        <v>46</v>
      </c>
      <c r="AV11">
        <v>3</v>
      </c>
      <c r="AW11">
        <v>69</v>
      </c>
      <c r="AX11">
        <v>4</v>
      </c>
      <c r="AY11">
        <v>40</v>
      </c>
      <c r="AZ11">
        <v>0</v>
      </c>
      <c r="BA11">
        <v>0</v>
      </c>
      <c r="BB11">
        <v>113</v>
      </c>
      <c r="BC11">
        <v>3</v>
      </c>
      <c r="BD11">
        <v>0</v>
      </c>
      <c r="BE11">
        <v>0</v>
      </c>
      <c r="BF11">
        <v>0</v>
      </c>
      <c r="BG11">
        <v>0</v>
      </c>
      <c r="BH11" t="s">
        <v>10</v>
      </c>
      <c r="BI11" t="s">
        <v>97</v>
      </c>
      <c r="BJ11" t="s">
        <v>98</v>
      </c>
      <c r="BK11" t="s">
        <v>99</v>
      </c>
      <c r="BL11" s="33" t="s">
        <v>9</v>
      </c>
      <c r="BM11" s="33" t="s">
        <v>100</v>
      </c>
      <c r="BN11" s="33" t="s">
        <v>100</v>
      </c>
      <c r="BO11" s="33" t="s">
        <v>100</v>
      </c>
      <c r="BP11" s="33" t="s">
        <v>101</v>
      </c>
    </row>
    <row r="12" spans="1:68" x14ac:dyDescent="0.25">
      <c r="A12" t="s">
        <v>91</v>
      </c>
      <c r="B12" t="s">
        <v>92</v>
      </c>
      <c r="C12" s="33" t="s">
        <v>18</v>
      </c>
      <c r="D12">
        <v>35</v>
      </c>
      <c r="E12" s="33" t="s">
        <v>20</v>
      </c>
      <c r="F12">
        <v>3543907</v>
      </c>
      <c r="G12" t="s">
        <v>138</v>
      </c>
      <c r="H12">
        <v>35007528</v>
      </c>
      <c r="I12">
        <v>3</v>
      </c>
      <c r="J12">
        <v>1</v>
      </c>
      <c r="K12">
        <v>0</v>
      </c>
      <c r="L12" t="s">
        <v>139</v>
      </c>
      <c r="M12" t="s">
        <v>140</v>
      </c>
      <c r="O12" t="s">
        <v>141</v>
      </c>
      <c r="P12">
        <v>13502714</v>
      </c>
      <c r="Q12">
        <v>1</v>
      </c>
      <c r="R12">
        <v>1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217</v>
      </c>
      <c r="AN12">
        <v>0</v>
      </c>
      <c r="AO12">
        <v>217</v>
      </c>
      <c r="AP12">
        <v>0</v>
      </c>
      <c r="AQ12">
        <v>0</v>
      </c>
      <c r="AR12">
        <v>0</v>
      </c>
      <c r="AS12">
        <v>10</v>
      </c>
      <c r="AT12">
        <v>109</v>
      </c>
      <c r="AU12">
        <v>108</v>
      </c>
      <c r="AV12">
        <v>21</v>
      </c>
      <c r="AW12">
        <v>117</v>
      </c>
      <c r="AX12">
        <v>3</v>
      </c>
      <c r="AY12">
        <v>75</v>
      </c>
      <c r="AZ12">
        <v>0</v>
      </c>
      <c r="BA12">
        <v>1</v>
      </c>
      <c r="BB12">
        <v>0</v>
      </c>
      <c r="BC12">
        <v>0</v>
      </c>
      <c r="BD12">
        <v>208</v>
      </c>
      <c r="BE12">
        <v>9</v>
      </c>
      <c r="BF12">
        <v>0</v>
      </c>
      <c r="BG12">
        <v>0</v>
      </c>
      <c r="BH12" t="s">
        <v>10</v>
      </c>
      <c r="BI12" t="s">
        <v>97</v>
      </c>
      <c r="BJ12" t="s">
        <v>98</v>
      </c>
      <c r="BK12" t="s">
        <v>99</v>
      </c>
      <c r="BL12" s="33" t="s">
        <v>11</v>
      </c>
      <c r="BM12" s="33" t="s">
        <v>100</v>
      </c>
      <c r="BN12" s="33" t="s">
        <v>100</v>
      </c>
      <c r="BO12" s="33" t="s">
        <v>100</v>
      </c>
      <c r="BP12" s="33" t="s">
        <v>101</v>
      </c>
    </row>
    <row r="13" spans="1:68" x14ac:dyDescent="0.25">
      <c r="A13" t="s">
        <v>91</v>
      </c>
      <c r="B13" t="s">
        <v>92</v>
      </c>
      <c r="C13" s="33" t="s">
        <v>18</v>
      </c>
      <c r="D13">
        <v>35</v>
      </c>
      <c r="E13" s="33" t="s">
        <v>20</v>
      </c>
      <c r="F13">
        <v>3543907</v>
      </c>
      <c r="G13" t="s">
        <v>142</v>
      </c>
      <c r="H13">
        <v>35007533</v>
      </c>
      <c r="I13">
        <v>3</v>
      </c>
      <c r="J13">
        <v>1</v>
      </c>
      <c r="K13">
        <v>0</v>
      </c>
      <c r="L13" t="s">
        <v>143</v>
      </c>
      <c r="M13" t="s">
        <v>144</v>
      </c>
      <c r="O13" t="s">
        <v>121</v>
      </c>
      <c r="P13">
        <v>13502762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305</v>
      </c>
      <c r="AN13">
        <v>305</v>
      </c>
      <c r="AO13">
        <v>0</v>
      </c>
      <c r="AP13">
        <v>0</v>
      </c>
      <c r="AQ13">
        <v>0</v>
      </c>
      <c r="AR13">
        <v>0</v>
      </c>
      <c r="AS13">
        <v>7</v>
      </c>
      <c r="AT13">
        <v>152</v>
      </c>
      <c r="AU13">
        <v>153</v>
      </c>
      <c r="AV13">
        <v>20</v>
      </c>
      <c r="AW13">
        <v>171</v>
      </c>
      <c r="AX13">
        <v>24</v>
      </c>
      <c r="AY13">
        <v>90</v>
      </c>
      <c r="AZ13">
        <v>0</v>
      </c>
      <c r="BA13">
        <v>0</v>
      </c>
      <c r="BB13">
        <v>131</v>
      </c>
      <c r="BC13">
        <v>155</v>
      </c>
      <c r="BD13">
        <v>19</v>
      </c>
      <c r="BE13">
        <v>0</v>
      </c>
      <c r="BF13">
        <v>0</v>
      </c>
      <c r="BG13">
        <v>0</v>
      </c>
      <c r="BH13" t="s">
        <v>10</v>
      </c>
      <c r="BI13" t="s">
        <v>97</v>
      </c>
      <c r="BJ13" t="s">
        <v>98</v>
      </c>
      <c r="BK13" t="s">
        <v>99</v>
      </c>
      <c r="BL13" s="33" t="s">
        <v>11</v>
      </c>
      <c r="BM13" s="33" t="s">
        <v>100</v>
      </c>
      <c r="BN13" s="33" t="s">
        <v>100</v>
      </c>
      <c r="BO13" s="33" t="s">
        <v>100</v>
      </c>
      <c r="BP13" s="33" t="s">
        <v>101</v>
      </c>
    </row>
    <row r="14" spans="1:68" x14ac:dyDescent="0.25">
      <c r="A14" t="s">
        <v>91</v>
      </c>
      <c r="B14" t="s">
        <v>92</v>
      </c>
      <c r="C14" s="33" t="s">
        <v>18</v>
      </c>
      <c r="D14">
        <v>35</v>
      </c>
      <c r="E14" s="33" t="s">
        <v>20</v>
      </c>
      <c r="F14">
        <v>3543907</v>
      </c>
      <c r="G14" t="s">
        <v>145</v>
      </c>
      <c r="H14">
        <v>35007694</v>
      </c>
      <c r="I14">
        <v>4</v>
      </c>
      <c r="J14">
        <v>1</v>
      </c>
      <c r="K14">
        <v>0</v>
      </c>
      <c r="L14" t="s">
        <v>146</v>
      </c>
      <c r="M14" t="s">
        <v>136</v>
      </c>
      <c r="O14" t="s">
        <v>96</v>
      </c>
      <c r="P14">
        <v>13500470</v>
      </c>
      <c r="Q14">
        <v>1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170</v>
      </c>
      <c r="AN14">
        <v>99</v>
      </c>
      <c r="AO14">
        <v>71</v>
      </c>
      <c r="AP14">
        <v>0</v>
      </c>
      <c r="AQ14">
        <v>0</v>
      </c>
      <c r="AR14">
        <v>0</v>
      </c>
      <c r="AS14">
        <v>0</v>
      </c>
      <c r="AT14">
        <v>109</v>
      </c>
      <c r="AU14">
        <v>61</v>
      </c>
      <c r="AV14">
        <v>42</v>
      </c>
      <c r="AW14">
        <v>119</v>
      </c>
      <c r="AX14">
        <v>1</v>
      </c>
      <c r="AY14">
        <v>7</v>
      </c>
      <c r="AZ14">
        <v>1</v>
      </c>
      <c r="BA14">
        <v>0</v>
      </c>
      <c r="BB14">
        <v>39</v>
      </c>
      <c r="BC14">
        <v>54</v>
      </c>
      <c r="BD14">
        <v>77</v>
      </c>
      <c r="BE14">
        <v>0</v>
      </c>
      <c r="BF14">
        <v>0</v>
      </c>
      <c r="BG14">
        <v>0</v>
      </c>
      <c r="BH14" t="s">
        <v>12</v>
      </c>
      <c r="BI14" t="s">
        <v>97</v>
      </c>
      <c r="BJ14" t="s">
        <v>98</v>
      </c>
      <c r="BK14" t="s">
        <v>99</v>
      </c>
      <c r="BL14" s="33" t="s">
        <v>9</v>
      </c>
      <c r="BM14" s="33" t="s">
        <v>100</v>
      </c>
      <c r="BN14" s="33" t="s">
        <v>100</v>
      </c>
      <c r="BO14" s="33" t="s">
        <v>100</v>
      </c>
      <c r="BP14" s="33" t="s">
        <v>101</v>
      </c>
    </row>
    <row r="15" spans="1:68" x14ac:dyDescent="0.25">
      <c r="A15" t="s">
        <v>91</v>
      </c>
      <c r="B15" t="s">
        <v>92</v>
      </c>
      <c r="C15" s="33" t="s">
        <v>18</v>
      </c>
      <c r="D15">
        <v>35</v>
      </c>
      <c r="E15" s="33" t="s">
        <v>20</v>
      </c>
      <c r="F15">
        <v>3543907</v>
      </c>
      <c r="G15" t="s">
        <v>147</v>
      </c>
      <c r="H15">
        <v>35007696</v>
      </c>
      <c r="I15">
        <v>4</v>
      </c>
      <c r="J15">
        <v>1</v>
      </c>
      <c r="K15">
        <v>0</v>
      </c>
      <c r="L15" t="s">
        <v>148</v>
      </c>
      <c r="M15" t="s">
        <v>149</v>
      </c>
      <c r="O15" t="s">
        <v>150</v>
      </c>
      <c r="P15">
        <v>13506108</v>
      </c>
      <c r="Q15">
        <v>1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42</v>
      </c>
      <c r="AN15">
        <v>11</v>
      </c>
      <c r="AO15">
        <v>31</v>
      </c>
      <c r="AP15">
        <v>0</v>
      </c>
      <c r="AQ15">
        <v>0</v>
      </c>
      <c r="AR15">
        <v>0</v>
      </c>
      <c r="AS15">
        <v>0</v>
      </c>
      <c r="AT15">
        <v>23</v>
      </c>
      <c r="AU15">
        <v>19</v>
      </c>
      <c r="AV15">
        <v>5</v>
      </c>
      <c r="AW15">
        <v>30</v>
      </c>
      <c r="AX15">
        <v>0</v>
      </c>
      <c r="AY15">
        <v>6</v>
      </c>
      <c r="AZ15">
        <v>1</v>
      </c>
      <c r="BA15">
        <v>0</v>
      </c>
      <c r="BB15">
        <v>0</v>
      </c>
      <c r="BC15">
        <v>10</v>
      </c>
      <c r="BD15">
        <v>32</v>
      </c>
      <c r="BE15">
        <v>0</v>
      </c>
      <c r="BF15">
        <v>0</v>
      </c>
      <c r="BG15">
        <v>0</v>
      </c>
      <c r="BH15" t="s">
        <v>12</v>
      </c>
      <c r="BI15" t="s">
        <v>97</v>
      </c>
      <c r="BJ15" t="s">
        <v>98</v>
      </c>
      <c r="BK15" t="s">
        <v>99</v>
      </c>
      <c r="BL15" s="33" t="s">
        <v>7</v>
      </c>
      <c r="BM15" s="33" t="s">
        <v>100</v>
      </c>
      <c r="BN15" s="33" t="s">
        <v>100</v>
      </c>
      <c r="BO15" s="33" t="s">
        <v>100</v>
      </c>
      <c r="BP15" s="33" t="s">
        <v>101</v>
      </c>
    </row>
    <row r="16" spans="1:68" x14ac:dyDescent="0.25">
      <c r="A16" t="s">
        <v>91</v>
      </c>
      <c r="B16" t="s">
        <v>92</v>
      </c>
      <c r="C16" s="33" t="s">
        <v>18</v>
      </c>
      <c r="D16">
        <v>35</v>
      </c>
      <c r="E16" s="33" t="s">
        <v>20</v>
      </c>
      <c r="F16">
        <v>3543907</v>
      </c>
      <c r="G16" t="s">
        <v>151</v>
      </c>
      <c r="H16">
        <v>35008189</v>
      </c>
      <c r="I16">
        <v>4</v>
      </c>
      <c r="J16">
        <v>1</v>
      </c>
      <c r="K16">
        <v>0</v>
      </c>
      <c r="L16" t="s">
        <v>152</v>
      </c>
      <c r="M16" t="s">
        <v>153</v>
      </c>
      <c r="O16" t="s">
        <v>154</v>
      </c>
      <c r="P16">
        <v>13501104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115</v>
      </c>
      <c r="AN16">
        <v>104</v>
      </c>
      <c r="AO16">
        <v>11</v>
      </c>
      <c r="AP16">
        <v>0</v>
      </c>
      <c r="AQ16">
        <v>0</v>
      </c>
      <c r="AR16">
        <v>0</v>
      </c>
      <c r="AS16">
        <v>1</v>
      </c>
      <c r="AT16">
        <v>55</v>
      </c>
      <c r="AU16">
        <v>60</v>
      </c>
      <c r="AV16">
        <v>3</v>
      </c>
      <c r="AW16">
        <v>102</v>
      </c>
      <c r="AX16">
        <v>0</v>
      </c>
      <c r="AY16">
        <v>9</v>
      </c>
      <c r="AZ16">
        <v>0</v>
      </c>
      <c r="BA16">
        <v>1</v>
      </c>
      <c r="BB16">
        <v>54</v>
      </c>
      <c r="BC16">
        <v>45</v>
      </c>
      <c r="BD16">
        <v>16</v>
      </c>
      <c r="BE16">
        <v>0</v>
      </c>
      <c r="BF16">
        <v>0</v>
      </c>
      <c r="BG16">
        <v>0</v>
      </c>
      <c r="BH16" t="s">
        <v>12</v>
      </c>
      <c r="BI16" t="s">
        <v>97</v>
      </c>
      <c r="BJ16" t="s">
        <v>98</v>
      </c>
      <c r="BK16" t="s">
        <v>99</v>
      </c>
      <c r="BL16" s="33" t="s">
        <v>9</v>
      </c>
      <c r="BM16" s="33" t="s">
        <v>100</v>
      </c>
      <c r="BN16" s="33" t="s">
        <v>100</v>
      </c>
      <c r="BO16" s="33" t="s">
        <v>100</v>
      </c>
      <c r="BP16" s="33" t="s">
        <v>101</v>
      </c>
    </row>
    <row r="17" spans="1:68" x14ac:dyDescent="0.25">
      <c r="A17" t="s">
        <v>91</v>
      </c>
      <c r="B17" t="s">
        <v>92</v>
      </c>
      <c r="C17" s="33" t="s">
        <v>18</v>
      </c>
      <c r="D17">
        <v>35</v>
      </c>
      <c r="E17" s="33" t="s">
        <v>20</v>
      </c>
      <c r="F17">
        <v>3543907</v>
      </c>
      <c r="G17" t="s">
        <v>155</v>
      </c>
      <c r="H17">
        <v>35009310</v>
      </c>
      <c r="I17">
        <v>4</v>
      </c>
      <c r="J17">
        <v>1</v>
      </c>
      <c r="K17">
        <v>0</v>
      </c>
      <c r="L17" t="s">
        <v>156</v>
      </c>
      <c r="M17" t="s">
        <v>157</v>
      </c>
      <c r="O17" t="s">
        <v>158</v>
      </c>
      <c r="P17">
        <v>13506692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78</v>
      </c>
      <c r="AN17">
        <v>78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35</v>
      </c>
      <c r="AU17">
        <v>43</v>
      </c>
      <c r="AV17">
        <v>2</v>
      </c>
      <c r="AW17">
        <v>63</v>
      </c>
      <c r="AX17">
        <v>4</v>
      </c>
      <c r="AY17">
        <v>9</v>
      </c>
      <c r="AZ17">
        <v>0</v>
      </c>
      <c r="BA17">
        <v>0</v>
      </c>
      <c r="BB17">
        <v>54</v>
      </c>
      <c r="BC17">
        <v>23</v>
      </c>
      <c r="BD17">
        <v>1</v>
      </c>
      <c r="BE17">
        <v>0</v>
      </c>
      <c r="BF17">
        <v>0</v>
      </c>
      <c r="BG17">
        <v>0</v>
      </c>
      <c r="BH17" t="s">
        <v>12</v>
      </c>
      <c r="BI17" t="s">
        <v>97</v>
      </c>
      <c r="BJ17" t="s">
        <v>98</v>
      </c>
      <c r="BK17" t="s">
        <v>99</v>
      </c>
      <c r="BL17" s="33" t="s">
        <v>9</v>
      </c>
      <c r="BM17" s="33" t="s">
        <v>100</v>
      </c>
      <c r="BN17" s="33" t="s">
        <v>100</v>
      </c>
      <c r="BO17" s="33" t="s">
        <v>100</v>
      </c>
      <c r="BP17" s="33" t="s">
        <v>101</v>
      </c>
    </row>
    <row r="18" spans="1:68" x14ac:dyDescent="0.25">
      <c r="A18" t="s">
        <v>91</v>
      </c>
      <c r="B18" t="s">
        <v>92</v>
      </c>
      <c r="C18" s="33" t="s">
        <v>18</v>
      </c>
      <c r="D18">
        <v>35</v>
      </c>
      <c r="E18" s="33" t="s">
        <v>20</v>
      </c>
      <c r="F18">
        <v>3543907</v>
      </c>
      <c r="G18" t="s">
        <v>159</v>
      </c>
      <c r="H18">
        <v>35009311</v>
      </c>
      <c r="I18">
        <v>4</v>
      </c>
      <c r="J18">
        <v>1</v>
      </c>
      <c r="K18">
        <v>0</v>
      </c>
      <c r="L18" t="s">
        <v>160</v>
      </c>
      <c r="M18" t="s">
        <v>161</v>
      </c>
      <c r="O18" t="s">
        <v>162</v>
      </c>
      <c r="P18">
        <v>13504140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65</v>
      </c>
      <c r="AN18">
        <v>65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34</v>
      </c>
      <c r="AU18">
        <v>31</v>
      </c>
      <c r="AV18">
        <v>22</v>
      </c>
      <c r="AW18">
        <v>42</v>
      </c>
      <c r="AX18">
        <v>0</v>
      </c>
      <c r="AY18">
        <v>1</v>
      </c>
      <c r="AZ18">
        <v>0</v>
      </c>
      <c r="BA18">
        <v>0</v>
      </c>
      <c r="BB18">
        <v>33</v>
      </c>
      <c r="BC18">
        <v>31</v>
      </c>
      <c r="BD18">
        <v>1</v>
      </c>
      <c r="BE18">
        <v>0</v>
      </c>
      <c r="BF18">
        <v>0</v>
      </c>
      <c r="BG18">
        <v>0</v>
      </c>
      <c r="BH18" t="s">
        <v>12</v>
      </c>
      <c r="BI18" t="s">
        <v>97</v>
      </c>
      <c r="BJ18" t="s">
        <v>98</v>
      </c>
      <c r="BK18" t="s">
        <v>99</v>
      </c>
      <c r="BL18" s="33" t="s">
        <v>9</v>
      </c>
      <c r="BM18" s="33" t="s">
        <v>100</v>
      </c>
      <c r="BN18" s="33" t="s">
        <v>100</v>
      </c>
      <c r="BO18" s="33" t="s">
        <v>100</v>
      </c>
      <c r="BP18" s="33" t="s">
        <v>101</v>
      </c>
    </row>
    <row r="19" spans="1:68" x14ac:dyDescent="0.25">
      <c r="A19" t="s">
        <v>91</v>
      </c>
      <c r="B19" t="s">
        <v>92</v>
      </c>
      <c r="C19" s="33" t="s">
        <v>18</v>
      </c>
      <c r="D19">
        <v>35</v>
      </c>
      <c r="E19" s="33" t="s">
        <v>20</v>
      </c>
      <c r="F19">
        <v>3543907</v>
      </c>
      <c r="G19" t="s">
        <v>163</v>
      </c>
      <c r="H19">
        <v>35009638</v>
      </c>
      <c r="I19">
        <v>4</v>
      </c>
      <c r="J19">
        <v>1</v>
      </c>
      <c r="K19">
        <v>0</v>
      </c>
      <c r="L19" t="s">
        <v>164</v>
      </c>
      <c r="M19" t="s">
        <v>165</v>
      </c>
      <c r="N19" t="s">
        <v>166</v>
      </c>
      <c r="O19" t="s">
        <v>167</v>
      </c>
      <c r="P19">
        <v>13506795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40</v>
      </c>
      <c r="AN19">
        <v>0</v>
      </c>
      <c r="AO19">
        <v>40</v>
      </c>
      <c r="AP19">
        <v>0</v>
      </c>
      <c r="AQ19">
        <v>0</v>
      </c>
      <c r="AR19">
        <v>0</v>
      </c>
      <c r="AS19">
        <v>1</v>
      </c>
      <c r="AT19">
        <v>17</v>
      </c>
      <c r="AU19">
        <v>23</v>
      </c>
      <c r="AV19">
        <v>2</v>
      </c>
      <c r="AW19">
        <v>35</v>
      </c>
      <c r="AX19">
        <v>0</v>
      </c>
      <c r="AY19">
        <v>3</v>
      </c>
      <c r="AZ19">
        <v>0</v>
      </c>
      <c r="BA19">
        <v>0</v>
      </c>
      <c r="BB19">
        <v>0</v>
      </c>
      <c r="BC19">
        <v>0</v>
      </c>
      <c r="BD19">
        <v>40</v>
      </c>
      <c r="BE19">
        <v>0</v>
      </c>
      <c r="BF19">
        <v>0</v>
      </c>
      <c r="BG19">
        <v>0</v>
      </c>
      <c r="BH19" t="s">
        <v>12</v>
      </c>
      <c r="BI19" t="s">
        <v>97</v>
      </c>
      <c r="BJ19" t="s">
        <v>98</v>
      </c>
      <c r="BK19" t="s">
        <v>99</v>
      </c>
      <c r="BL19" s="33" t="s">
        <v>7</v>
      </c>
      <c r="BM19" s="33" t="s">
        <v>100</v>
      </c>
      <c r="BN19" s="33" t="s">
        <v>100</v>
      </c>
      <c r="BO19" s="33" t="s">
        <v>100</v>
      </c>
      <c r="BP19" s="33" t="s">
        <v>101</v>
      </c>
    </row>
    <row r="20" spans="1:68" x14ac:dyDescent="0.25">
      <c r="A20" t="s">
        <v>91</v>
      </c>
      <c r="B20" t="s">
        <v>92</v>
      </c>
      <c r="C20" s="33" t="s">
        <v>18</v>
      </c>
      <c r="D20">
        <v>35</v>
      </c>
      <c r="E20" s="33" t="s">
        <v>20</v>
      </c>
      <c r="F20">
        <v>3543907</v>
      </c>
      <c r="G20" t="s">
        <v>168</v>
      </c>
      <c r="H20">
        <v>35009802</v>
      </c>
      <c r="I20">
        <v>3</v>
      </c>
      <c r="J20">
        <v>1</v>
      </c>
      <c r="K20">
        <v>0</v>
      </c>
      <c r="L20" t="s">
        <v>169</v>
      </c>
      <c r="M20" t="s">
        <v>170</v>
      </c>
      <c r="O20" t="s">
        <v>171</v>
      </c>
      <c r="P20">
        <v>13503504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357</v>
      </c>
      <c r="AN20">
        <v>0</v>
      </c>
      <c r="AO20">
        <v>357</v>
      </c>
      <c r="AP20">
        <v>0</v>
      </c>
      <c r="AQ20">
        <v>0</v>
      </c>
      <c r="AR20">
        <v>0</v>
      </c>
      <c r="AS20">
        <v>13</v>
      </c>
      <c r="AT20">
        <v>165</v>
      </c>
      <c r="AU20">
        <v>192</v>
      </c>
      <c r="AV20">
        <v>23</v>
      </c>
      <c r="AW20">
        <v>197</v>
      </c>
      <c r="AX20">
        <v>20</v>
      </c>
      <c r="AY20">
        <v>117</v>
      </c>
      <c r="AZ20">
        <v>0</v>
      </c>
      <c r="BA20">
        <v>0</v>
      </c>
      <c r="BB20">
        <v>0</v>
      </c>
      <c r="BC20">
        <v>0</v>
      </c>
      <c r="BD20">
        <v>336</v>
      </c>
      <c r="BE20">
        <v>20</v>
      </c>
      <c r="BF20">
        <v>1</v>
      </c>
      <c r="BG20">
        <v>0</v>
      </c>
      <c r="BH20" t="s">
        <v>10</v>
      </c>
      <c r="BI20" t="s">
        <v>97</v>
      </c>
      <c r="BJ20" t="s">
        <v>98</v>
      </c>
      <c r="BK20" t="s">
        <v>99</v>
      </c>
      <c r="BL20" s="33" t="s">
        <v>11</v>
      </c>
      <c r="BM20" s="33" t="s">
        <v>100</v>
      </c>
      <c r="BN20" s="33" t="s">
        <v>100</v>
      </c>
      <c r="BO20" s="33" t="s">
        <v>100</v>
      </c>
      <c r="BP20" s="33" t="s">
        <v>101</v>
      </c>
    </row>
    <row r="21" spans="1:68" x14ac:dyDescent="0.25">
      <c r="A21" t="s">
        <v>91</v>
      </c>
      <c r="B21" t="s">
        <v>92</v>
      </c>
      <c r="C21" s="33" t="s">
        <v>18</v>
      </c>
      <c r="D21">
        <v>35</v>
      </c>
      <c r="E21" s="33" t="s">
        <v>20</v>
      </c>
      <c r="F21">
        <v>3543907</v>
      </c>
      <c r="G21" t="s">
        <v>172</v>
      </c>
      <c r="H21">
        <v>35009863</v>
      </c>
      <c r="I21">
        <v>3</v>
      </c>
      <c r="J21">
        <v>1</v>
      </c>
      <c r="K21">
        <v>0</v>
      </c>
      <c r="L21" t="s">
        <v>173</v>
      </c>
      <c r="M21" t="s">
        <v>174</v>
      </c>
      <c r="O21" t="s">
        <v>175</v>
      </c>
      <c r="P21">
        <v>13506832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74</v>
      </c>
      <c r="AN21">
        <v>74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45</v>
      </c>
      <c r="AU21">
        <v>29</v>
      </c>
      <c r="AV21">
        <v>13</v>
      </c>
      <c r="AW21">
        <v>45</v>
      </c>
      <c r="AX21">
        <v>5</v>
      </c>
      <c r="AY21">
        <v>10</v>
      </c>
      <c r="AZ21">
        <v>1</v>
      </c>
      <c r="BA21">
        <v>0</v>
      </c>
      <c r="BB21">
        <v>72</v>
      </c>
      <c r="BC21">
        <v>2</v>
      </c>
      <c r="BD21">
        <v>0</v>
      </c>
      <c r="BE21">
        <v>0</v>
      </c>
      <c r="BF21">
        <v>0</v>
      </c>
      <c r="BG21">
        <v>0</v>
      </c>
      <c r="BH21" t="s">
        <v>10</v>
      </c>
      <c r="BI21" t="s">
        <v>97</v>
      </c>
      <c r="BJ21" t="s">
        <v>98</v>
      </c>
      <c r="BK21" t="s">
        <v>99</v>
      </c>
      <c r="BL21" s="33" t="s">
        <v>9</v>
      </c>
      <c r="BM21" s="33" t="s">
        <v>100</v>
      </c>
      <c r="BN21" s="33" t="s">
        <v>100</v>
      </c>
      <c r="BO21" s="33" t="s">
        <v>100</v>
      </c>
      <c r="BP21" s="33" t="s">
        <v>101</v>
      </c>
    </row>
    <row r="22" spans="1:68" x14ac:dyDescent="0.25">
      <c r="A22" t="s">
        <v>91</v>
      </c>
      <c r="B22" t="s">
        <v>92</v>
      </c>
      <c r="C22" s="33" t="s">
        <v>18</v>
      </c>
      <c r="D22">
        <v>35</v>
      </c>
      <c r="E22" s="33" t="s">
        <v>20</v>
      </c>
      <c r="F22">
        <v>3543907</v>
      </c>
      <c r="G22" t="s">
        <v>176</v>
      </c>
      <c r="H22">
        <v>35010574</v>
      </c>
      <c r="I22">
        <v>3</v>
      </c>
      <c r="J22">
        <v>1</v>
      </c>
      <c r="K22">
        <v>0</v>
      </c>
      <c r="L22" t="s">
        <v>177</v>
      </c>
      <c r="M22" t="s">
        <v>178</v>
      </c>
      <c r="O22" t="s">
        <v>179</v>
      </c>
      <c r="P22">
        <v>13503532</v>
      </c>
      <c r="Q22">
        <v>1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63</v>
      </c>
      <c r="AN22">
        <v>63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31</v>
      </c>
      <c r="AU22">
        <v>32</v>
      </c>
      <c r="AV22">
        <v>4</v>
      </c>
      <c r="AW22">
        <v>38</v>
      </c>
      <c r="AX22">
        <v>7</v>
      </c>
      <c r="AY22">
        <v>14</v>
      </c>
      <c r="AZ22">
        <v>0</v>
      </c>
      <c r="BA22">
        <v>0</v>
      </c>
      <c r="BB22">
        <v>62</v>
      </c>
      <c r="BC22">
        <v>1</v>
      </c>
      <c r="BD22">
        <v>0</v>
      </c>
      <c r="BE22">
        <v>0</v>
      </c>
      <c r="BF22">
        <v>0</v>
      </c>
      <c r="BG22">
        <v>0</v>
      </c>
      <c r="BH22" t="s">
        <v>10</v>
      </c>
      <c r="BI22" t="s">
        <v>97</v>
      </c>
      <c r="BJ22" t="s">
        <v>98</v>
      </c>
      <c r="BK22" t="s">
        <v>99</v>
      </c>
      <c r="BL22" s="33" t="s">
        <v>9</v>
      </c>
      <c r="BM22" s="33" t="s">
        <v>100</v>
      </c>
      <c r="BN22" s="33" t="s">
        <v>100</v>
      </c>
      <c r="BO22" s="33" t="s">
        <v>100</v>
      </c>
      <c r="BP22" s="33" t="s">
        <v>101</v>
      </c>
    </row>
    <row r="23" spans="1:68" x14ac:dyDescent="0.25">
      <c r="A23" t="s">
        <v>91</v>
      </c>
      <c r="B23" t="s">
        <v>92</v>
      </c>
      <c r="C23" s="33" t="s">
        <v>18</v>
      </c>
      <c r="D23">
        <v>35</v>
      </c>
      <c r="E23" s="33" t="s">
        <v>20</v>
      </c>
      <c r="F23">
        <v>3543907</v>
      </c>
      <c r="G23" t="s">
        <v>180</v>
      </c>
      <c r="H23">
        <v>35010818</v>
      </c>
      <c r="I23">
        <v>4</v>
      </c>
      <c r="J23">
        <v>1</v>
      </c>
      <c r="K23">
        <v>0</v>
      </c>
      <c r="L23" t="s">
        <v>181</v>
      </c>
      <c r="M23" t="s">
        <v>182</v>
      </c>
      <c r="O23" t="s">
        <v>183</v>
      </c>
      <c r="P23">
        <v>13503750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44</v>
      </c>
      <c r="AN23">
        <v>0</v>
      </c>
      <c r="AO23">
        <v>0</v>
      </c>
      <c r="AP23">
        <v>0</v>
      </c>
      <c r="AQ23">
        <v>44</v>
      </c>
      <c r="AR23">
        <v>0</v>
      </c>
      <c r="AS23">
        <v>0</v>
      </c>
      <c r="AT23">
        <v>13</v>
      </c>
      <c r="AU23">
        <v>31</v>
      </c>
      <c r="AV23">
        <v>25</v>
      </c>
      <c r="AW23">
        <v>12</v>
      </c>
      <c r="AX23">
        <v>1</v>
      </c>
      <c r="AY23">
        <v>5</v>
      </c>
      <c r="AZ23">
        <v>1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44</v>
      </c>
      <c r="BH23" t="s">
        <v>12</v>
      </c>
      <c r="BI23" t="s">
        <v>97</v>
      </c>
      <c r="BJ23" t="s">
        <v>98</v>
      </c>
      <c r="BK23" t="s">
        <v>99</v>
      </c>
      <c r="BL23" s="33" t="s">
        <v>7</v>
      </c>
      <c r="BM23" s="33" t="s">
        <v>100</v>
      </c>
      <c r="BN23" s="33" t="s">
        <v>100</v>
      </c>
      <c r="BO23" s="33" t="s">
        <v>100</v>
      </c>
      <c r="BP23" s="33" t="s">
        <v>101</v>
      </c>
    </row>
    <row r="24" spans="1:68" x14ac:dyDescent="0.25">
      <c r="A24" t="s">
        <v>91</v>
      </c>
      <c r="B24" t="s">
        <v>92</v>
      </c>
      <c r="C24" s="33" t="s">
        <v>18</v>
      </c>
      <c r="D24">
        <v>35</v>
      </c>
      <c r="E24" s="33" t="s">
        <v>20</v>
      </c>
      <c r="F24">
        <v>3543907</v>
      </c>
      <c r="G24" t="s">
        <v>184</v>
      </c>
      <c r="H24">
        <v>35021556</v>
      </c>
      <c r="I24">
        <v>2</v>
      </c>
      <c r="J24">
        <v>1</v>
      </c>
      <c r="K24">
        <v>0</v>
      </c>
      <c r="L24" t="s">
        <v>185</v>
      </c>
      <c r="M24" t="s">
        <v>186</v>
      </c>
      <c r="N24" t="s">
        <v>187</v>
      </c>
      <c r="O24" t="s">
        <v>188</v>
      </c>
      <c r="P24">
        <v>13506734</v>
      </c>
      <c r="Q24">
        <v>1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287</v>
      </c>
      <c r="AN24">
        <v>0</v>
      </c>
      <c r="AO24">
        <v>287</v>
      </c>
      <c r="AP24">
        <v>0</v>
      </c>
      <c r="AQ24">
        <v>0</v>
      </c>
      <c r="AR24">
        <v>0</v>
      </c>
      <c r="AS24">
        <v>8</v>
      </c>
      <c r="AT24">
        <v>135</v>
      </c>
      <c r="AU24">
        <v>152</v>
      </c>
      <c r="AV24">
        <v>1</v>
      </c>
      <c r="AW24">
        <v>216</v>
      </c>
      <c r="AX24">
        <v>17</v>
      </c>
      <c r="AY24">
        <v>53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276</v>
      </c>
      <c r="BF24">
        <v>11</v>
      </c>
      <c r="BG24">
        <v>0</v>
      </c>
      <c r="BH24" t="s">
        <v>8</v>
      </c>
      <c r="BI24" t="s">
        <v>97</v>
      </c>
      <c r="BJ24" t="s">
        <v>98</v>
      </c>
      <c r="BK24" t="s">
        <v>99</v>
      </c>
      <c r="BL24" s="33" t="s">
        <v>11</v>
      </c>
      <c r="BM24" s="33" t="s">
        <v>100</v>
      </c>
      <c r="BN24" s="33" t="s">
        <v>100</v>
      </c>
      <c r="BO24" s="33" t="s">
        <v>100</v>
      </c>
      <c r="BP24" s="33" t="s">
        <v>101</v>
      </c>
    </row>
    <row r="25" spans="1:68" x14ac:dyDescent="0.25">
      <c r="A25" t="s">
        <v>91</v>
      </c>
      <c r="B25" t="s">
        <v>92</v>
      </c>
      <c r="C25" s="33" t="s">
        <v>18</v>
      </c>
      <c r="D25">
        <v>35</v>
      </c>
      <c r="E25" s="33" t="s">
        <v>20</v>
      </c>
      <c r="F25">
        <v>3543907</v>
      </c>
      <c r="G25" t="s">
        <v>189</v>
      </c>
      <c r="H25">
        <v>35021568</v>
      </c>
      <c r="I25">
        <v>2</v>
      </c>
      <c r="J25">
        <v>1</v>
      </c>
      <c r="L25" t="s">
        <v>190</v>
      </c>
      <c r="M25" t="s">
        <v>191</v>
      </c>
      <c r="N25" t="s">
        <v>192</v>
      </c>
      <c r="O25" t="s">
        <v>193</v>
      </c>
      <c r="P25">
        <v>13504120</v>
      </c>
      <c r="Q25">
        <v>2</v>
      </c>
      <c r="BH25" t="s">
        <v>8</v>
      </c>
      <c r="BI25" t="s">
        <v>97</v>
      </c>
      <c r="BK25" t="s">
        <v>194</v>
      </c>
      <c r="BL25" s="33" t="s">
        <v>15</v>
      </c>
      <c r="BM25" s="33" t="s">
        <v>15</v>
      </c>
      <c r="BN25" s="33" t="s">
        <v>15</v>
      </c>
      <c r="BO25" s="33" t="s">
        <v>15</v>
      </c>
      <c r="BP25" s="33" t="s">
        <v>15</v>
      </c>
    </row>
    <row r="26" spans="1:68" x14ac:dyDescent="0.25">
      <c r="A26" t="s">
        <v>91</v>
      </c>
      <c r="B26" t="s">
        <v>92</v>
      </c>
      <c r="C26" s="33" t="s">
        <v>18</v>
      </c>
      <c r="D26">
        <v>35</v>
      </c>
      <c r="E26" s="33" t="s">
        <v>20</v>
      </c>
      <c r="F26">
        <v>3543907</v>
      </c>
      <c r="G26" t="s">
        <v>195</v>
      </c>
      <c r="H26">
        <v>35021573</v>
      </c>
      <c r="I26">
        <v>2</v>
      </c>
      <c r="J26">
        <v>1</v>
      </c>
      <c r="K26">
        <v>0</v>
      </c>
      <c r="L26" t="s">
        <v>196</v>
      </c>
      <c r="M26" t="s">
        <v>197</v>
      </c>
      <c r="N26" t="s">
        <v>187</v>
      </c>
      <c r="O26" t="s">
        <v>96</v>
      </c>
      <c r="P26">
        <v>13500143</v>
      </c>
      <c r="Q26">
        <v>1</v>
      </c>
      <c r="R26">
        <v>1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389</v>
      </c>
      <c r="AN26">
        <v>0</v>
      </c>
      <c r="AO26">
        <v>389</v>
      </c>
      <c r="AP26">
        <v>0</v>
      </c>
      <c r="AQ26">
        <v>0</v>
      </c>
      <c r="AR26">
        <v>0</v>
      </c>
      <c r="AS26">
        <v>15</v>
      </c>
      <c r="AT26">
        <v>195</v>
      </c>
      <c r="AU26">
        <v>194</v>
      </c>
      <c r="AV26">
        <v>7</v>
      </c>
      <c r="AW26">
        <v>290</v>
      </c>
      <c r="AX26">
        <v>19</v>
      </c>
      <c r="AY26">
        <v>72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372</v>
      </c>
      <c r="BF26">
        <v>17</v>
      </c>
      <c r="BG26">
        <v>0</v>
      </c>
      <c r="BH26" t="s">
        <v>8</v>
      </c>
      <c r="BI26" t="s">
        <v>97</v>
      </c>
      <c r="BJ26" t="s">
        <v>98</v>
      </c>
      <c r="BK26" t="s">
        <v>99</v>
      </c>
      <c r="BL26" s="33" t="s">
        <v>11</v>
      </c>
      <c r="BM26" s="33" t="s">
        <v>100</v>
      </c>
      <c r="BN26" s="33" t="s">
        <v>100</v>
      </c>
      <c r="BO26" s="33" t="s">
        <v>100</v>
      </c>
      <c r="BP26" s="33" t="s">
        <v>101</v>
      </c>
    </row>
    <row r="27" spans="1:68" x14ac:dyDescent="0.25">
      <c r="A27" t="s">
        <v>91</v>
      </c>
      <c r="B27" t="s">
        <v>92</v>
      </c>
      <c r="C27" s="33" t="s">
        <v>18</v>
      </c>
      <c r="D27">
        <v>35</v>
      </c>
      <c r="E27" s="33" t="s">
        <v>20</v>
      </c>
      <c r="F27">
        <v>3543907</v>
      </c>
      <c r="G27" t="s">
        <v>198</v>
      </c>
      <c r="H27">
        <v>35021593</v>
      </c>
      <c r="I27">
        <v>2</v>
      </c>
      <c r="J27">
        <v>1</v>
      </c>
      <c r="L27" t="s">
        <v>199</v>
      </c>
      <c r="M27" t="s">
        <v>200</v>
      </c>
      <c r="O27" t="s">
        <v>201</v>
      </c>
      <c r="P27">
        <v>13506541</v>
      </c>
      <c r="Q27">
        <v>2</v>
      </c>
      <c r="BH27" t="s">
        <v>8</v>
      </c>
      <c r="BI27" t="s">
        <v>97</v>
      </c>
      <c r="BK27" t="s">
        <v>194</v>
      </c>
      <c r="BL27" s="33" t="s">
        <v>15</v>
      </c>
      <c r="BM27" s="33" t="s">
        <v>15</v>
      </c>
      <c r="BN27" s="33" t="s">
        <v>15</v>
      </c>
      <c r="BO27" s="33" t="s">
        <v>15</v>
      </c>
      <c r="BP27" s="33" t="s">
        <v>15</v>
      </c>
    </row>
    <row r="28" spans="1:68" x14ac:dyDescent="0.25">
      <c r="A28" t="s">
        <v>91</v>
      </c>
      <c r="B28" t="s">
        <v>92</v>
      </c>
      <c r="C28" s="33" t="s">
        <v>18</v>
      </c>
      <c r="D28">
        <v>35</v>
      </c>
      <c r="E28" s="33" t="s">
        <v>20</v>
      </c>
      <c r="F28">
        <v>3543907</v>
      </c>
      <c r="G28" t="s">
        <v>202</v>
      </c>
      <c r="H28">
        <v>35021611</v>
      </c>
      <c r="I28">
        <v>2</v>
      </c>
      <c r="J28">
        <v>1</v>
      </c>
      <c r="K28">
        <v>0</v>
      </c>
      <c r="L28" t="s">
        <v>203</v>
      </c>
      <c r="M28" t="s">
        <v>204</v>
      </c>
      <c r="N28" t="s">
        <v>187</v>
      </c>
      <c r="O28" t="s">
        <v>96</v>
      </c>
      <c r="P28">
        <v>13500050</v>
      </c>
      <c r="Q28">
        <v>1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387</v>
      </c>
      <c r="AN28">
        <v>0</v>
      </c>
      <c r="AO28">
        <v>0</v>
      </c>
      <c r="AP28">
        <v>250</v>
      </c>
      <c r="AQ28">
        <v>32</v>
      </c>
      <c r="AR28">
        <v>137</v>
      </c>
      <c r="AS28">
        <v>21</v>
      </c>
      <c r="AT28">
        <v>225</v>
      </c>
      <c r="AU28">
        <v>162</v>
      </c>
      <c r="AV28">
        <v>40</v>
      </c>
      <c r="AW28">
        <v>244</v>
      </c>
      <c r="AX28">
        <v>10</v>
      </c>
      <c r="AY28">
        <v>91</v>
      </c>
      <c r="AZ28">
        <v>1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237</v>
      </c>
      <c r="BG28">
        <v>150</v>
      </c>
      <c r="BH28" t="s">
        <v>8</v>
      </c>
      <c r="BI28" t="s">
        <v>97</v>
      </c>
      <c r="BJ28" t="s">
        <v>98</v>
      </c>
      <c r="BK28" t="s">
        <v>99</v>
      </c>
      <c r="BL28" s="33" t="s">
        <v>11</v>
      </c>
      <c r="BM28" s="33" t="s">
        <v>100</v>
      </c>
      <c r="BN28" s="33" t="s">
        <v>100</v>
      </c>
      <c r="BO28" s="33" t="s">
        <v>100</v>
      </c>
      <c r="BP28" s="33" t="s">
        <v>101</v>
      </c>
    </row>
    <row r="29" spans="1:68" x14ac:dyDescent="0.25">
      <c r="A29" t="s">
        <v>91</v>
      </c>
      <c r="B29" t="s">
        <v>92</v>
      </c>
      <c r="C29" s="33" t="s">
        <v>18</v>
      </c>
      <c r="D29">
        <v>35</v>
      </c>
      <c r="E29" s="33" t="s">
        <v>20</v>
      </c>
      <c r="F29">
        <v>3543907</v>
      </c>
      <c r="G29" t="s">
        <v>205</v>
      </c>
      <c r="H29">
        <v>35021660</v>
      </c>
      <c r="I29">
        <v>2</v>
      </c>
      <c r="J29">
        <v>1</v>
      </c>
      <c r="L29" t="s">
        <v>206</v>
      </c>
      <c r="M29" t="s">
        <v>207</v>
      </c>
      <c r="O29" t="s">
        <v>96</v>
      </c>
      <c r="P29">
        <v>13500401</v>
      </c>
      <c r="Q29">
        <v>2</v>
      </c>
      <c r="BH29" t="s">
        <v>8</v>
      </c>
      <c r="BI29" t="s">
        <v>97</v>
      </c>
      <c r="BK29" t="s">
        <v>194</v>
      </c>
      <c r="BL29" s="33" t="s">
        <v>15</v>
      </c>
      <c r="BM29" s="33" t="s">
        <v>15</v>
      </c>
      <c r="BN29" s="33" t="s">
        <v>15</v>
      </c>
      <c r="BO29" s="33" t="s">
        <v>15</v>
      </c>
      <c r="BP29" s="33" t="s">
        <v>15</v>
      </c>
    </row>
    <row r="30" spans="1:68" x14ac:dyDescent="0.25">
      <c r="A30" t="s">
        <v>91</v>
      </c>
      <c r="B30" t="s">
        <v>92</v>
      </c>
      <c r="C30" s="33" t="s">
        <v>18</v>
      </c>
      <c r="D30">
        <v>35</v>
      </c>
      <c r="E30" s="33" t="s">
        <v>20</v>
      </c>
      <c r="F30">
        <v>3543907</v>
      </c>
      <c r="G30" t="s">
        <v>208</v>
      </c>
      <c r="H30">
        <v>35021696</v>
      </c>
      <c r="I30">
        <v>2</v>
      </c>
      <c r="J30">
        <v>1</v>
      </c>
      <c r="K30">
        <v>0</v>
      </c>
      <c r="L30" t="s">
        <v>209</v>
      </c>
      <c r="M30" t="s">
        <v>210</v>
      </c>
      <c r="N30" t="s">
        <v>192</v>
      </c>
      <c r="O30" t="s">
        <v>167</v>
      </c>
      <c r="P30">
        <v>13506820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305</v>
      </c>
      <c r="AN30">
        <v>0</v>
      </c>
      <c r="AO30">
        <v>0</v>
      </c>
      <c r="AP30">
        <v>305</v>
      </c>
      <c r="AQ30">
        <v>0</v>
      </c>
      <c r="AR30">
        <v>0</v>
      </c>
      <c r="AS30">
        <v>4</v>
      </c>
      <c r="AT30">
        <v>176</v>
      </c>
      <c r="AU30">
        <v>129</v>
      </c>
      <c r="AV30">
        <v>12</v>
      </c>
      <c r="AW30">
        <v>228</v>
      </c>
      <c r="AX30">
        <v>15</v>
      </c>
      <c r="AY30">
        <v>49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279</v>
      </c>
      <c r="BG30">
        <v>25</v>
      </c>
      <c r="BH30" t="s">
        <v>8</v>
      </c>
      <c r="BI30" t="s">
        <v>97</v>
      </c>
      <c r="BJ30" t="s">
        <v>98</v>
      </c>
      <c r="BK30" t="s">
        <v>99</v>
      </c>
      <c r="BL30" s="33" t="s">
        <v>11</v>
      </c>
      <c r="BM30" s="33" t="s">
        <v>100</v>
      </c>
      <c r="BN30" s="33" t="s">
        <v>100</v>
      </c>
      <c r="BO30" s="33" t="s">
        <v>100</v>
      </c>
      <c r="BP30" s="33" t="s">
        <v>101</v>
      </c>
    </row>
    <row r="31" spans="1:68" x14ac:dyDescent="0.25">
      <c r="A31" t="s">
        <v>91</v>
      </c>
      <c r="B31" t="s">
        <v>92</v>
      </c>
      <c r="C31" s="33" t="s">
        <v>18</v>
      </c>
      <c r="D31">
        <v>35</v>
      </c>
      <c r="E31" s="33" t="s">
        <v>20</v>
      </c>
      <c r="F31">
        <v>3543907</v>
      </c>
      <c r="G31" t="s">
        <v>211</v>
      </c>
      <c r="H31">
        <v>35021702</v>
      </c>
      <c r="I31">
        <v>2</v>
      </c>
      <c r="J31">
        <v>1</v>
      </c>
      <c r="K31">
        <v>0</v>
      </c>
      <c r="L31" t="s">
        <v>212</v>
      </c>
      <c r="M31" t="s">
        <v>213</v>
      </c>
      <c r="N31" t="s">
        <v>192</v>
      </c>
      <c r="O31" t="s">
        <v>158</v>
      </c>
      <c r="P31">
        <v>13505151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757</v>
      </c>
      <c r="AN31">
        <v>0</v>
      </c>
      <c r="AO31">
        <v>584</v>
      </c>
      <c r="AP31">
        <v>173</v>
      </c>
      <c r="AQ31">
        <v>52</v>
      </c>
      <c r="AR31">
        <v>0</v>
      </c>
      <c r="AS31">
        <v>21</v>
      </c>
      <c r="AT31">
        <v>342</v>
      </c>
      <c r="AU31">
        <v>415</v>
      </c>
      <c r="AV31">
        <v>57</v>
      </c>
      <c r="AW31">
        <v>530</v>
      </c>
      <c r="AX31">
        <v>17</v>
      </c>
      <c r="AY31">
        <v>151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552</v>
      </c>
      <c r="BF31">
        <v>197</v>
      </c>
      <c r="BG31">
        <v>8</v>
      </c>
      <c r="BH31" t="s">
        <v>8</v>
      </c>
      <c r="BI31" t="s">
        <v>97</v>
      </c>
      <c r="BJ31" t="s">
        <v>98</v>
      </c>
      <c r="BK31" t="s">
        <v>99</v>
      </c>
      <c r="BL31" s="33" t="s">
        <v>13</v>
      </c>
      <c r="BM31" s="33" t="s">
        <v>100</v>
      </c>
      <c r="BN31" s="33" t="s">
        <v>100</v>
      </c>
      <c r="BO31" s="33" t="s">
        <v>100</v>
      </c>
      <c r="BP31" s="33" t="s">
        <v>101</v>
      </c>
    </row>
    <row r="32" spans="1:68" x14ac:dyDescent="0.25">
      <c r="A32" t="s">
        <v>91</v>
      </c>
      <c r="B32" t="s">
        <v>92</v>
      </c>
      <c r="C32" s="33" t="s">
        <v>18</v>
      </c>
      <c r="D32">
        <v>35</v>
      </c>
      <c r="E32" s="33" t="s">
        <v>20</v>
      </c>
      <c r="F32">
        <v>3543907</v>
      </c>
      <c r="G32" t="s">
        <v>214</v>
      </c>
      <c r="H32">
        <v>35021726</v>
      </c>
      <c r="I32">
        <v>2</v>
      </c>
      <c r="J32">
        <v>1</v>
      </c>
      <c r="K32">
        <v>0</v>
      </c>
      <c r="L32" t="s">
        <v>215</v>
      </c>
      <c r="M32" t="s">
        <v>216</v>
      </c>
      <c r="N32" t="s">
        <v>192</v>
      </c>
      <c r="O32" t="s">
        <v>217</v>
      </c>
      <c r="P32">
        <v>13503400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926</v>
      </c>
      <c r="AN32">
        <v>0</v>
      </c>
      <c r="AO32">
        <v>480</v>
      </c>
      <c r="AP32">
        <v>446</v>
      </c>
      <c r="AQ32">
        <v>20</v>
      </c>
      <c r="AR32">
        <v>0</v>
      </c>
      <c r="AS32">
        <v>21</v>
      </c>
      <c r="AT32">
        <v>442</v>
      </c>
      <c r="AU32">
        <v>484</v>
      </c>
      <c r="AV32">
        <v>89</v>
      </c>
      <c r="AW32">
        <v>604</v>
      </c>
      <c r="AX32">
        <v>20</v>
      </c>
      <c r="AY32">
        <v>210</v>
      </c>
      <c r="AZ32">
        <v>1</v>
      </c>
      <c r="BA32">
        <v>2</v>
      </c>
      <c r="BB32">
        <v>0</v>
      </c>
      <c r="BC32">
        <v>0</v>
      </c>
      <c r="BD32">
        <v>4</v>
      </c>
      <c r="BE32">
        <v>433</v>
      </c>
      <c r="BF32">
        <v>436</v>
      </c>
      <c r="BG32">
        <v>53</v>
      </c>
      <c r="BH32" t="s">
        <v>8</v>
      </c>
      <c r="BI32" t="s">
        <v>97</v>
      </c>
      <c r="BJ32" t="s">
        <v>98</v>
      </c>
      <c r="BK32" t="s">
        <v>99</v>
      </c>
      <c r="BL32" s="33" t="s">
        <v>13</v>
      </c>
      <c r="BM32" s="33" t="s">
        <v>100</v>
      </c>
      <c r="BN32" s="33" t="s">
        <v>100</v>
      </c>
      <c r="BO32" s="33" t="s">
        <v>100</v>
      </c>
      <c r="BP32" s="33" t="s">
        <v>101</v>
      </c>
    </row>
    <row r="33" spans="1:68" x14ac:dyDescent="0.25">
      <c r="A33" t="s">
        <v>91</v>
      </c>
      <c r="B33" t="s">
        <v>92</v>
      </c>
      <c r="C33" s="33" t="s">
        <v>18</v>
      </c>
      <c r="D33">
        <v>35</v>
      </c>
      <c r="E33" s="33" t="s">
        <v>20</v>
      </c>
      <c r="F33">
        <v>3543907</v>
      </c>
      <c r="G33" t="s">
        <v>218</v>
      </c>
      <c r="H33">
        <v>35021738</v>
      </c>
      <c r="I33">
        <v>2</v>
      </c>
      <c r="J33">
        <v>1</v>
      </c>
      <c r="K33">
        <v>0</v>
      </c>
      <c r="L33" t="s">
        <v>219</v>
      </c>
      <c r="M33" t="s">
        <v>220</v>
      </c>
      <c r="N33" t="s">
        <v>187</v>
      </c>
      <c r="O33" t="s">
        <v>221</v>
      </c>
      <c r="P33">
        <v>13503185</v>
      </c>
      <c r="Q33">
        <v>1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1143</v>
      </c>
      <c r="AN33">
        <v>0</v>
      </c>
      <c r="AO33">
        <v>534</v>
      </c>
      <c r="AP33">
        <v>609</v>
      </c>
      <c r="AQ33">
        <v>0</v>
      </c>
      <c r="AR33">
        <v>0</v>
      </c>
      <c r="AS33">
        <v>32</v>
      </c>
      <c r="AT33">
        <v>552</v>
      </c>
      <c r="AU33">
        <v>591</v>
      </c>
      <c r="AV33">
        <v>16</v>
      </c>
      <c r="AW33">
        <v>727</v>
      </c>
      <c r="AX33">
        <v>31</v>
      </c>
      <c r="AY33">
        <v>369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489</v>
      </c>
      <c r="BF33">
        <v>591</v>
      </c>
      <c r="BG33">
        <v>63</v>
      </c>
      <c r="BH33" t="s">
        <v>8</v>
      </c>
      <c r="BI33" t="s">
        <v>97</v>
      </c>
      <c r="BJ33" t="s">
        <v>98</v>
      </c>
      <c r="BK33" t="s">
        <v>99</v>
      </c>
      <c r="BL33" s="33" t="s">
        <v>14</v>
      </c>
      <c r="BM33" s="33" t="s">
        <v>100</v>
      </c>
      <c r="BN33" s="33" t="s">
        <v>100</v>
      </c>
      <c r="BO33" s="33" t="s">
        <v>100</v>
      </c>
      <c r="BP33" s="33" t="s">
        <v>101</v>
      </c>
    </row>
    <row r="34" spans="1:68" x14ac:dyDescent="0.25">
      <c r="A34" t="s">
        <v>91</v>
      </c>
      <c r="B34" t="s">
        <v>92</v>
      </c>
      <c r="C34" s="33" t="s">
        <v>18</v>
      </c>
      <c r="D34">
        <v>35</v>
      </c>
      <c r="E34" s="33" t="s">
        <v>20</v>
      </c>
      <c r="F34">
        <v>3543907</v>
      </c>
      <c r="G34" t="s">
        <v>222</v>
      </c>
      <c r="H34">
        <v>35021748</v>
      </c>
      <c r="I34">
        <v>2</v>
      </c>
      <c r="J34">
        <v>1</v>
      </c>
      <c r="K34">
        <v>0</v>
      </c>
      <c r="L34" t="s">
        <v>223</v>
      </c>
      <c r="M34" t="s">
        <v>224</v>
      </c>
      <c r="N34" t="s">
        <v>187</v>
      </c>
      <c r="O34" t="s">
        <v>162</v>
      </c>
      <c r="P34">
        <v>13504090</v>
      </c>
      <c r="Q34">
        <v>1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299</v>
      </c>
      <c r="AN34">
        <v>0</v>
      </c>
      <c r="AO34">
        <v>0</v>
      </c>
      <c r="AP34">
        <v>299</v>
      </c>
      <c r="AQ34">
        <v>71</v>
      </c>
      <c r="AR34">
        <v>0</v>
      </c>
      <c r="AS34">
        <v>16</v>
      </c>
      <c r="AT34">
        <v>171</v>
      </c>
      <c r="AU34">
        <v>128</v>
      </c>
      <c r="AV34">
        <v>6</v>
      </c>
      <c r="AW34">
        <v>237</v>
      </c>
      <c r="AX34">
        <v>10</v>
      </c>
      <c r="AY34">
        <v>45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280</v>
      </c>
      <c r="BG34">
        <v>19</v>
      </c>
      <c r="BH34" t="s">
        <v>8</v>
      </c>
      <c r="BI34" t="s">
        <v>97</v>
      </c>
      <c r="BJ34" t="s">
        <v>98</v>
      </c>
      <c r="BK34" t="s">
        <v>99</v>
      </c>
      <c r="BL34" s="33" t="s">
        <v>11</v>
      </c>
      <c r="BM34" s="33" t="s">
        <v>100</v>
      </c>
      <c r="BN34" s="33" t="s">
        <v>100</v>
      </c>
      <c r="BO34" s="33" t="s">
        <v>100</v>
      </c>
      <c r="BP34" s="33" t="s">
        <v>101</v>
      </c>
    </row>
    <row r="35" spans="1:68" x14ac:dyDescent="0.25">
      <c r="A35" t="s">
        <v>91</v>
      </c>
      <c r="B35" t="s">
        <v>92</v>
      </c>
      <c r="C35" s="33" t="s">
        <v>18</v>
      </c>
      <c r="D35">
        <v>35</v>
      </c>
      <c r="E35" s="33" t="s">
        <v>20</v>
      </c>
      <c r="F35">
        <v>3543907</v>
      </c>
      <c r="G35" t="s">
        <v>225</v>
      </c>
      <c r="H35">
        <v>35021787</v>
      </c>
      <c r="I35">
        <v>2</v>
      </c>
      <c r="J35">
        <v>1</v>
      </c>
      <c r="K35">
        <v>0</v>
      </c>
      <c r="L35" t="s">
        <v>226</v>
      </c>
      <c r="M35" t="s">
        <v>227</v>
      </c>
      <c r="N35" t="s">
        <v>187</v>
      </c>
      <c r="O35" t="s">
        <v>228</v>
      </c>
      <c r="P35">
        <v>13504096</v>
      </c>
      <c r="Q35">
        <v>1</v>
      </c>
      <c r="R35">
        <v>1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661</v>
      </c>
      <c r="AN35">
        <v>0</v>
      </c>
      <c r="AO35">
        <v>661</v>
      </c>
      <c r="AP35">
        <v>0</v>
      </c>
      <c r="AQ35">
        <v>0</v>
      </c>
      <c r="AR35">
        <v>0</v>
      </c>
      <c r="AS35">
        <v>25</v>
      </c>
      <c r="AT35">
        <v>326</v>
      </c>
      <c r="AU35">
        <v>335</v>
      </c>
      <c r="AV35">
        <v>22</v>
      </c>
      <c r="AW35">
        <v>501</v>
      </c>
      <c r="AX35">
        <v>9</v>
      </c>
      <c r="AY35">
        <v>128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625</v>
      </c>
      <c r="BF35">
        <v>35</v>
      </c>
      <c r="BG35">
        <v>0</v>
      </c>
      <c r="BH35" t="s">
        <v>8</v>
      </c>
      <c r="BI35" t="s">
        <v>97</v>
      </c>
      <c r="BJ35" t="s">
        <v>98</v>
      </c>
      <c r="BK35" t="s">
        <v>99</v>
      </c>
      <c r="BL35" s="33" t="s">
        <v>13</v>
      </c>
      <c r="BM35" s="33" t="s">
        <v>100</v>
      </c>
      <c r="BN35" s="33" t="s">
        <v>100</v>
      </c>
      <c r="BO35" s="33" t="s">
        <v>100</v>
      </c>
      <c r="BP35" s="33" t="s">
        <v>101</v>
      </c>
    </row>
    <row r="36" spans="1:68" x14ac:dyDescent="0.25">
      <c r="A36" t="s">
        <v>91</v>
      </c>
      <c r="B36" t="s">
        <v>92</v>
      </c>
      <c r="C36" s="33" t="s">
        <v>18</v>
      </c>
      <c r="D36">
        <v>35</v>
      </c>
      <c r="E36" s="33" t="s">
        <v>20</v>
      </c>
      <c r="F36">
        <v>3543907</v>
      </c>
      <c r="G36" t="s">
        <v>229</v>
      </c>
      <c r="H36">
        <v>35021817</v>
      </c>
      <c r="I36">
        <v>2</v>
      </c>
      <c r="J36">
        <v>1</v>
      </c>
      <c r="K36">
        <v>0</v>
      </c>
      <c r="L36" t="s">
        <v>135</v>
      </c>
      <c r="M36" t="s">
        <v>230</v>
      </c>
      <c r="N36" t="s">
        <v>192</v>
      </c>
      <c r="O36" t="s">
        <v>96</v>
      </c>
      <c r="P36">
        <v>13500380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1169</v>
      </c>
      <c r="AN36">
        <v>0</v>
      </c>
      <c r="AO36">
        <v>0</v>
      </c>
      <c r="AP36">
        <v>606</v>
      </c>
      <c r="AQ36">
        <v>977</v>
      </c>
      <c r="AR36">
        <v>0</v>
      </c>
      <c r="AS36">
        <v>12</v>
      </c>
      <c r="AT36">
        <v>569</v>
      </c>
      <c r="AU36">
        <v>600</v>
      </c>
      <c r="AV36">
        <v>185</v>
      </c>
      <c r="AW36">
        <v>772</v>
      </c>
      <c r="AX36">
        <v>28</v>
      </c>
      <c r="AY36">
        <v>183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2</v>
      </c>
      <c r="BF36">
        <v>613</v>
      </c>
      <c r="BG36">
        <v>554</v>
      </c>
      <c r="BH36" t="s">
        <v>8</v>
      </c>
      <c r="BI36" t="s">
        <v>97</v>
      </c>
      <c r="BJ36" t="s">
        <v>98</v>
      </c>
      <c r="BK36" t="s">
        <v>99</v>
      </c>
      <c r="BL36" s="33" t="s">
        <v>14</v>
      </c>
      <c r="BM36" s="33" t="s">
        <v>100</v>
      </c>
      <c r="BN36" s="33" t="s">
        <v>100</v>
      </c>
      <c r="BO36" s="33" t="s">
        <v>100</v>
      </c>
      <c r="BP36" s="33" t="s">
        <v>101</v>
      </c>
    </row>
    <row r="37" spans="1:68" x14ac:dyDescent="0.25">
      <c r="A37" t="s">
        <v>91</v>
      </c>
      <c r="B37" t="s">
        <v>92</v>
      </c>
      <c r="C37" s="33" t="s">
        <v>18</v>
      </c>
      <c r="D37">
        <v>35</v>
      </c>
      <c r="E37" s="33" t="s">
        <v>20</v>
      </c>
      <c r="F37">
        <v>3543907</v>
      </c>
      <c r="G37" t="s">
        <v>231</v>
      </c>
      <c r="H37">
        <v>35036316</v>
      </c>
      <c r="I37">
        <v>2</v>
      </c>
      <c r="J37">
        <v>1</v>
      </c>
      <c r="L37" t="s">
        <v>232</v>
      </c>
      <c r="M37" t="s">
        <v>233</v>
      </c>
      <c r="N37" t="s">
        <v>187</v>
      </c>
      <c r="O37" t="s">
        <v>234</v>
      </c>
      <c r="P37">
        <v>13504164</v>
      </c>
      <c r="Q37">
        <v>2</v>
      </c>
      <c r="BH37" t="s">
        <v>8</v>
      </c>
      <c r="BI37" t="s">
        <v>97</v>
      </c>
      <c r="BK37" t="s">
        <v>194</v>
      </c>
      <c r="BL37" s="33" t="s">
        <v>15</v>
      </c>
      <c r="BM37" s="33" t="s">
        <v>15</v>
      </c>
      <c r="BN37" s="33" t="s">
        <v>15</v>
      </c>
      <c r="BO37" s="33" t="s">
        <v>15</v>
      </c>
      <c r="BP37" s="33" t="s">
        <v>15</v>
      </c>
    </row>
    <row r="38" spans="1:68" x14ac:dyDescent="0.25">
      <c r="A38" t="s">
        <v>91</v>
      </c>
      <c r="B38" t="s">
        <v>92</v>
      </c>
      <c r="C38" s="33" t="s">
        <v>18</v>
      </c>
      <c r="D38">
        <v>35</v>
      </c>
      <c r="E38" s="33" t="s">
        <v>20</v>
      </c>
      <c r="F38">
        <v>3543907</v>
      </c>
      <c r="G38" t="s">
        <v>235</v>
      </c>
      <c r="H38">
        <v>35041661</v>
      </c>
      <c r="I38">
        <v>2</v>
      </c>
      <c r="J38">
        <v>1</v>
      </c>
      <c r="K38">
        <v>0</v>
      </c>
      <c r="L38" t="s">
        <v>236</v>
      </c>
      <c r="M38" t="s">
        <v>237</v>
      </c>
      <c r="N38" t="s">
        <v>187</v>
      </c>
      <c r="O38" t="s">
        <v>238</v>
      </c>
      <c r="P38">
        <v>13505315</v>
      </c>
      <c r="Q38">
        <v>1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808</v>
      </c>
      <c r="AN38">
        <v>0</v>
      </c>
      <c r="AO38">
        <v>342</v>
      </c>
      <c r="AP38">
        <v>466</v>
      </c>
      <c r="AQ38">
        <v>0</v>
      </c>
      <c r="AR38">
        <v>0</v>
      </c>
      <c r="AS38">
        <v>22</v>
      </c>
      <c r="AT38">
        <v>365</v>
      </c>
      <c r="AU38">
        <v>443</v>
      </c>
      <c r="AV38">
        <v>21</v>
      </c>
      <c r="AW38">
        <v>480</v>
      </c>
      <c r="AX38">
        <v>18</v>
      </c>
      <c r="AY38">
        <v>285</v>
      </c>
      <c r="AZ38">
        <v>3</v>
      </c>
      <c r="BA38">
        <v>1</v>
      </c>
      <c r="BB38">
        <v>0</v>
      </c>
      <c r="BC38">
        <v>0</v>
      </c>
      <c r="BD38">
        <v>1</v>
      </c>
      <c r="BE38">
        <v>313</v>
      </c>
      <c r="BF38">
        <v>449</v>
      </c>
      <c r="BG38">
        <v>45</v>
      </c>
      <c r="BH38" t="s">
        <v>8</v>
      </c>
      <c r="BI38" t="s">
        <v>97</v>
      </c>
      <c r="BJ38" t="s">
        <v>98</v>
      </c>
      <c r="BK38" t="s">
        <v>99</v>
      </c>
      <c r="BL38" s="33" t="s">
        <v>13</v>
      </c>
      <c r="BM38" s="33" t="s">
        <v>100</v>
      </c>
      <c r="BN38" s="33" t="s">
        <v>100</v>
      </c>
      <c r="BO38" s="33" t="s">
        <v>100</v>
      </c>
      <c r="BP38" s="33" t="s">
        <v>101</v>
      </c>
    </row>
    <row r="39" spans="1:68" x14ac:dyDescent="0.25">
      <c r="A39" t="s">
        <v>91</v>
      </c>
      <c r="B39" t="s">
        <v>92</v>
      </c>
      <c r="C39" s="33" t="s">
        <v>18</v>
      </c>
      <c r="D39">
        <v>35</v>
      </c>
      <c r="E39" s="33" t="s">
        <v>20</v>
      </c>
      <c r="F39">
        <v>3543907</v>
      </c>
      <c r="G39" t="s">
        <v>239</v>
      </c>
      <c r="H39">
        <v>35045895</v>
      </c>
      <c r="I39">
        <v>2</v>
      </c>
      <c r="J39">
        <v>1</v>
      </c>
      <c r="K39">
        <v>0</v>
      </c>
      <c r="L39" t="s">
        <v>94</v>
      </c>
      <c r="M39" t="s">
        <v>240</v>
      </c>
      <c r="N39" t="s">
        <v>187</v>
      </c>
      <c r="O39" t="s">
        <v>241</v>
      </c>
      <c r="P39">
        <v>13506083</v>
      </c>
      <c r="Q39">
        <v>1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1302</v>
      </c>
      <c r="AN39">
        <v>0</v>
      </c>
      <c r="AO39">
        <v>562</v>
      </c>
      <c r="AP39">
        <v>740</v>
      </c>
      <c r="AQ39">
        <v>0</v>
      </c>
      <c r="AR39">
        <v>0</v>
      </c>
      <c r="AS39">
        <v>21</v>
      </c>
      <c r="AT39">
        <v>580</v>
      </c>
      <c r="AU39">
        <v>722</v>
      </c>
      <c r="AV39">
        <v>44</v>
      </c>
      <c r="AW39">
        <v>903</v>
      </c>
      <c r="AX39">
        <v>23</v>
      </c>
      <c r="AY39">
        <v>329</v>
      </c>
      <c r="AZ39">
        <v>3</v>
      </c>
      <c r="BA39">
        <v>0</v>
      </c>
      <c r="BB39">
        <v>0</v>
      </c>
      <c r="BC39">
        <v>0</v>
      </c>
      <c r="BD39">
        <v>0</v>
      </c>
      <c r="BE39">
        <v>517</v>
      </c>
      <c r="BF39">
        <v>710</v>
      </c>
      <c r="BG39">
        <v>75</v>
      </c>
      <c r="BH39" t="s">
        <v>8</v>
      </c>
      <c r="BI39" t="s">
        <v>97</v>
      </c>
      <c r="BJ39" t="s">
        <v>98</v>
      </c>
      <c r="BK39" t="s">
        <v>99</v>
      </c>
      <c r="BL39" s="33" t="s">
        <v>14</v>
      </c>
      <c r="BM39" s="33" t="s">
        <v>100</v>
      </c>
      <c r="BN39" s="33" t="s">
        <v>100</v>
      </c>
      <c r="BO39" s="33" t="s">
        <v>100</v>
      </c>
      <c r="BP39" s="33" t="s">
        <v>101</v>
      </c>
    </row>
    <row r="40" spans="1:68" x14ac:dyDescent="0.25">
      <c r="A40" t="s">
        <v>91</v>
      </c>
      <c r="B40" t="s">
        <v>92</v>
      </c>
      <c r="C40" s="33" t="s">
        <v>18</v>
      </c>
      <c r="D40">
        <v>35</v>
      </c>
      <c r="E40" s="33" t="s">
        <v>20</v>
      </c>
      <c r="F40">
        <v>3543907</v>
      </c>
      <c r="G40" t="s">
        <v>242</v>
      </c>
      <c r="H40">
        <v>35045901</v>
      </c>
      <c r="I40">
        <v>2</v>
      </c>
      <c r="J40">
        <v>1</v>
      </c>
      <c r="L40" t="s">
        <v>243</v>
      </c>
      <c r="M40" t="s">
        <v>244</v>
      </c>
      <c r="N40" t="s">
        <v>192</v>
      </c>
      <c r="O40" t="s">
        <v>245</v>
      </c>
      <c r="P40">
        <v>13504763</v>
      </c>
      <c r="Q40">
        <v>2</v>
      </c>
      <c r="BH40" t="s">
        <v>8</v>
      </c>
      <c r="BI40" t="s">
        <v>97</v>
      </c>
      <c r="BK40" t="s">
        <v>194</v>
      </c>
      <c r="BL40" s="33" t="s">
        <v>15</v>
      </c>
      <c r="BM40" s="33" t="s">
        <v>15</v>
      </c>
      <c r="BN40" s="33" t="s">
        <v>15</v>
      </c>
      <c r="BO40" s="33" t="s">
        <v>15</v>
      </c>
      <c r="BP40" s="33" t="s">
        <v>15</v>
      </c>
    </row>
    <row r="41" spans="1:68" x14ac:dyDescent="0.25">
      <c r="A41" t="s">
        <v>91</v>
      </c>
      <c r="B41" t="s">
        <v>92</v>
      </c>
      <c r="C41" s="33" t="s">
        <v>18</v>
      </c>
      <c r="D41">
        <v>35</v>
      </c>
      <c r="E41" s="33" t="s">
        <v>20</v>
      </c>
      <c r="F41">
        <v>3543907</v>
      </c>
      <c r="G41" t="s">
        <v>246</v>
      </c>
      <c r="H41">
        <v>35049967</v>
      </c>
      <c r="I41">
        <v>2</v>
      </c>
      <c r="J41">
        <v>1</v>
      </c>
      <c r="K41">
        <v>0</v>
      </c>
      <c r="L41" t="s">
        <v>247</v>
      </c>
      <c r="M41" t="s">
        <v>248</v>
      </c>
      <c r="N41" t="s">
        <v>249</v>
      </c>
      <c r="O41" t="s">
        <v>250</v>
      </c>
      <c r="P41">
        <v>13502010</v>
      </c>
      <c r="Q41">
        <v>1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999</v>
      </c>
      <c r="AN41">
        <v>0</v>
      </c>
      <c r="AO41">
        <v>511</v>
      </c>
      <c r="AP41">
        <v>488</v>
      </c>
      <c r="AQ41">
        <v>77</v>
      </c>
      <c r="AR41">
        <v>0</v>
      </c>
      <c r="AS41">
        <v>12</v>
      </c>
      <c r="AT41">
        <v>465</v>
      </c>
      <c r="AU41">
        <v>534</v>
      </c>
      <c r="AV41">
        <v>45</v>
      </c>
      <c r="AW41">
        <v>552</v>
      </c>
      <c r="AX41">
        <v>78</v>
      </c>
      <c r="AY41">
        <v>322</v>
      </c>
      <c r="AZ41">
        <v>1</v>
      </c>
      <c r="BA41">
        <v>1</v>
      </c>
      <c r="BB41">
        <v>0</v>
      </c>
      <c r="BC41">
        <v>0</v>
      </c>
      <c r="BD41">
        <v>2</v>
      </c>
      <c r="BE41">
        <v>472</v>
      </c>
      <c r="BF41">
        <v>467</v>
      </c>
      <c r="BG41">
        <v>58</v>
      </c>
      <c r="BH41" t="s">
        <v>8</v>
      </c>
      <c r="BI41" t="s">
        <v>97</v>
      </c>
      <c r="BJ41" t="s">
        <v>98</v>
      </c>
      <c r="BK41" t="s">
        <v>99</v>
      </c>
      <c r="BL41" s="33" t="s">
        <v>13</v>
      </c>
      <c r="BM41" s="33" t="s">
        <v>100</v>
      </c>
      <c r="BN41" s="33" t="s">
        <v>100</v>
      </c>
      <c r="BO41" s="33" t="s">
        <v>100</v>
      </c>
      <c r="BP41" s="33" t="s">
        <v>101</v>
      </c>
    </row>
    <row r="42" spans="1:68" x14ac:dyDescent="0.25">
      <c r="A42" t="s">
        <v>91</v>
      </c>
      <c r="B42" t="s">
        <v>92</v>
      </c>
      <c r="C42" s="33" t="s">
        <v>18</v>
      </c>
      <c r="D42">
        <v>35</v>
      </c>
      <c r="E42" s="33" t="s">
        <v>20</v>
      </c>
      <c r="F42">
        <v>3543907</v>
      </c>
      <c r="G42" t="s">
        <v>251</v>
      </c>
      <c r="H42">
        <v>35061396</v>
      </c>
      <c r="I42">
        <v>3</v>
      </c>
      <c r="J42">
        <v>1</v>
      </c>
      <c r="K42">
        <v>0</v>
      </c>
      <c r="L42" t="s">
        <v>252</v>
      </c>
      <c r="M42" t="s">
        <v>253</v>
      </c>
      <c r="O42" t="s">
        <v>158</v>
      </c>
      <c r="P42">
        <v>13506540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439</v>
      </c>
      <c r="AN42">
        <v>439</v>
      </c>
      <c r="AO42">
        <v>0</v>
      </c>
      <c r="AP42">
        <v>0</v>
      </c>
      <c r="AQ42">
        <v>0</v>
      </c>
      <c r="AR42">
        <v>0</v>
      </c>
      <c r="AS42">
        <v>16</v>
      </c>
      <c r="AT42">
        <v>218</v>
      </c>
      <c r="AU42">
        <v>221</v>
      </c>
      <c r="AV42">
        <v>11</v>
      </c>
      <c r="AW42">
        <v>379</v>
      </c>
      <c r="AX42">
        <v>5</v>
      </c>
      <c r="AY42">
        <v>44</v>
      </c>
      <c r="AZ42">
        <v>0</v>
      </c>
      <c r="BA42">
        <v>0</v>
      </c>
      <c r="BB42">
        <v>138</v>
      </c>
      <c r="BC42">
        <v>267</v>
      </c>
      <c r="BD42">
        <v>34</v>
      </c>
      <c r="BE42">
        <v>0</v>
      </c>
      <c r="BF42">
        <v>0</v>
      </c>
      <c r="BG42">
        <v>0</v>
      </c>
      <c r="BH42" t="s">
        <v>10</v>
      </c>
      <c r="BI42" t="s">
        <v>97</v>
      </c>
      <c r="BJ42" t="s">
        <v>98</v>
      </c>
      <c r="BK42" t="s">
        <v>99</v>
      </c>
      <c r="BL42" s="33" t="s">
        <v>11</v>
      </c>
      <c r="BM42" s="33" t="s">
        <v>100</v>
      </c>
      <c r="BN42" s="33" t="s">
        <v>100</v>
      </c>
      <c r="BO42" s="33" t="s">
        <v>100</v>
      </c>
      <c r="BP42" s="33" t="s">
        <v>101</v>
      </c>
    </row>
    <row r="43" spans="1:68" x14ac:dyDescent="0.25">
      <c r="A43" t="s">
        <v>91</v>
      </c>
      <c r="B43" t="s">
        <v>92</v>
      </c>
      <c r="C43" s="33" t="s">
        <v>18</v>
      </c>
      <c r="D43">
        <v>35</v>
      </c>
      <c r="E43" s="33" t="s">
        <v>20</v>
      </c>
      <c r="F43">
        <v>3543907</v>
      </c>
      <c r="G43" t="s">
        <v>254</v>
      </c>
      <c r="H43">
        <v>35061402</v>
      </c>
      <c r="I43">
        <v>3</v>
      </c>
      <c r="J43">
        <v>1</v>
      </c>
      <c r="K43">
        <v>0</v>
      </c>
      <c r="L43" t="s">
        <v>255</v>
      </c>
      <c r="M43" t="s">
        <v>256</v>
      </c>
      <c r="N43" t="s">
        <v>187</v>
      </c>
      <c r="O43" t="s">
        <v>167</v>
      </c>
      <c r="P43">
        <v>13506808</v>
      </c>
      <c r="Q43">
        <v>1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102</v>
      </c>
      <c r="AN43">
        <v>102</v>
      </c>
      <c r="AO43">
        <v>0</v>
      </c>
      <c r="AP43">
        <v>0</v>
      </c>
      <c r="AQ43">
        <v>0</v>
      </c>
      <c r="AR43">
        <v>0</v>
      </c>
      <c r="AS43">
        <v>5</v>
      </c>
      <c r="AT43">
        <v>51</v>
      </c>
      <c r="AU43">
        <v>51</v>
      </c>
      <c r="AV43">
        <v>2</v>
      </c>
      <c r="AW43">
        <v>84</v>
      </c>
      <c r="AX43">
        <v>4</v>
      </c>
      <c r="AY43">
        <v>12</v>
      </c>
      <c r="AZ43">
        <v>0</v>
      </c>
      <c r="BA43">
        <v>0</v>
      </c>
      <c r="BB43">
        <v>16</v>
      </c>
      <c r="BC43">
        <v>76</v>
      </c>
      <c r="BD43">
        <v>10</v>
      </c>
      <c r="BE43">
        <v>0</v>
      </c>
      <c r="BF43">
        <v>0</v>
      </c>
      <c r="BG43">
        <v>0</v>
      </c>
      <c r="BH43" t="s">
        <v>10</v>
      </c>
      <c r="BI43" t="s">
        <v>97</v>
      </c>
      <c r="BJ43" t="s">
        <v>98</v>
      </c>
      <c r="BK43" t="s">
        <v>99</v>
      </c>
      <c r="BL43" s="33" t="s">
        <v>9</v>
      </c>
      <c r="BM43" s="33" t="s">
        <v>100</v>
      </c>
      <c r="BN43" s="33" t="s">
        <v>100</v>
      </c>
      <c r="BO43" s="33" t="s">
        <v>100</v>
      </c>
      <c r="BP43" s="33" t="s">
        <v>101</v>
      </c>
    </row>
    <row r="44" spans="1:68" x14ac:dyDescent="0.25">
      <c r="A44" t="s">
        <v>91</v>
      </c>
      <c r="B44" t="s">
        <v>92</v>
      </c>
      <c r="C44" s="33" t="s">
        <v>18</v>
      </c>
      <c r="D44">
        <v>35</v>
      </c>
      <c r="E44" s="33" t="s">
        <v>20</v>
      </c>
      <c r="F44">
        <v>3543907</v>
      </c>
      <c r="G44" t="s">
        <v>257</v>
      </c>
      <c r="H44">
        <v>35061414</v>
      </c>
      <c r="I44">
        <v>3</v>
      </c>
      <c r="J44">
        <v>1</v>
      </c>
      <c r="K44">
        <v>0</v>
      </c>
      <c r="L44" t="s">
        <v>258</v>
      </c>
      <c r="M44" t="s">
        <v>259</v>
      </c>
      <c r="N44" t="s">
        <v>192</v>
      </c>
      <c r="O44" t="s">
        <v>260</v>
      </c>
      <c r="P44">
        <v>13505006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765</v>
      </c>
      <c r="AN44">
        <v>404</v>
      </c>
      <c r="AO44">
        <v>316</v>
      </c>
      <c r="AP44">
        <v>0</v>
      </c>
      <c r="AQ44">
        <v>0</v>
      </c>
      <c r="AR44">
        <v>45</v>
      </c>
      <c r="AS44">
        <v>26</v>
      </c>
      <c r="AT44">
        <v>387</v>
      </c>
      <c r="AU44">
        <v>378</v>
      </c>
      <c r="AV44">
        <v>185</v>
      </c>
      <c r="AW44">
        <v>364</v>
      </c>
      <c r="AX44">
        <v>34</v>
      </c>
      <c r="AY44">
        <v>181</v>
      </c>
      <c r="AZ44">
        <v>1</v>
      </c>
      <c r="BA44">
        <v>0</v>
      </c>
      <c r="BB44">
        <v>75</v>
      </c>
      <c r="BC44">
        <v>299</v>
      </c>
      <c r="BD44">
        <v>336</v>
      </c>
      <c r="BE44">
        <v>10</v>
      </c>
      <c r="BF44">
        <v>0</v>
      </c>
      <c r="BG44">
        <v>45</v>
      </c>
      <c r="BH44" t="s">
        <v>10</v>
      </c>
      <c r="BI44" t="s">
        <v>97</v>
      </c>
      <c r="BJ44" t="s">
        <v>98</v>
      </c>
      <c r="BK44" t="s">
        <v>99</v>
      </c>
      <c r="BL44" s="33" t="s">
        <v>13</v>
      </c>
      <c r="BM44" s="33" t="s">
        <v>100</v>
      </c>
      <c r="BN44" s="33" t="s">
        <v>100</v>
      </c>
      <c r="BO44" s="33" t="s">
        <v>100</v>
      </c>
      <c r="BP44" s="33" t="s">
        <v>101</v>
      </c>
    </row>
    <row r="45" spans="1:68" x14ac:dyDescent="0.25">
      <c r="A45" t="s">
        <v>91</v>
      </c>
      <c r="B45" t="s">
        <v>92</v>
      </c>
      <c r="C45" s="33" t="s">
        <v>18</v>
      </c>
      <c r="D45">
        <v>35</v>
      </c>
      <c r="E45" s="33" t="s">
        <v>20</v>
      </c>
      <c r="F45">
        <v>3543907</v>
      </c>
      <c r="G45" t="s">
        <v>261</v>
      </c>
      <c r="H45">
        <v>35061426</v>
      </c>
      <c r="I45">
        <v>3</v>
      </c>
      <c r="J45">
        <v>1</v>
      </c>
      <c r="K45">
        <v>0</v>
      </c>
      <c r="L45" t="s">
        <v>103</v>
      </c>
      <c r="M45" t="s">
        <v>262</v>
      </c>
      <c r="N45" t="s">
        <v>187</v>
      </c>
      <c r="O45" t="s">
        <v>96</v>
      </c>
      <c r="P45">
        <v>13500110</v>
      </c>
      <c r="Q45">
        <v>1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410</v>
      </c>
      <c r="AN45">
        <v>410</v>
      </c>
      <c r="AO45">
        <v>0</v>
      </c>
      <c r="AP45">
        <v>0</v>
      </c>
      <c r="AQ45">
        <v>0</v>
      </c>
      <c r="AR45">
        <v>0</v>
      </c>
      <c r="AS45">
        <v>21</v>
      </c>
      <c r="AT45">
        <v>206</v>
      </c>
      <c r="AU45">
        <v>204</v>
      </c>
      <c r="AV45">
        <v>31</v>
      </c>
      <c r="AW45">
        <v>318</v>
      </c>
      <c r="AX45">
        <v>17</v>
      </c>
      <c r="AY45">
        <v>44</v>
      </c>
      <c r="AZ45">
        <v>0</v>
      </c>
      <c r="BA45">
        <v>0</v>
      </c>
      <c r="BB45">
        <v>125</v>
      </c>
      <c r="BC45">
        <v>267</v>
      </c>
      <c r="BD45">
        <v>18</v>
      </c>
      <c r="BE45">
        <v>0</v>
      </c>
      <c r="BF45">
        <v>0</v>
      </c>
      <c r="BG45">
        <v>0</v>
      </c>
      <c r="BH45" t="s">
        <v>10</v>
      </c>
      <c r="BI45" t="s">
        <v>97</v>
      </c>
      <c r="BJ45" t="s">
        <v>98</v>
      </c>
      <c r="BK45" t="s">
        <v>99</v>
      </c>
      <c r="BL45" s="33" t="s">
        <v>11</v>
      </c>
      <c r="BM45" s="33" t="s">
        <v>100</v>
      </c>
      <c r="BN45" s="33" t="s">
        <v>100</v>
      </c>
      <c r="BO45" s="33" t="s">
        <v>100</v>
      </c>
      <c r="BP45" s="33" t="s">
        <v>101</v>
      </c>
    </row>
    <row r="46" spans="1:68" x14ac:dyDescent="0.25">
      <c r="A46" t="s">
        <v>91</v>
      </c>
      <c r="B46" t="s">
        <v>92</v>
      </c>
      <c r="C46" s="33" t="s">
        <v>18</v>
      </c>
      <c r="D46">
        <v>35</v>
      </c>
      <c r="E46" s="33" t="s">
        <v>20</v>
      </c>
      <c r="F46">
        <v>3543907</v>
      </c>
      <c r="G46" t="s">
        <v>263</v>
      </c>
      <c r="H46">
        <v>35063502</v>
      </c>
      <c r="I46">
        <v>3</v>
      </c>
      <c r="J46">
        <v>1</v>
      </c>
      <c r="K46">
        <v>0</v>
      </c>
      <c r="L46" t="s">
        <v>264</v>
      </c>
      <c r="M46" t="s">
        <v>256</v>
      </c>
      <c r="N46" t="s">
        <v>187</v>
      </c>
      <c r="O46" t="s">
        <v>265</v>
      </c>
      <c r="P46">
        <v>13506179</v>
      </c>
      <c r="Q46">
        <v>1</v>
      </c>
      <c r="R46">
        <v>1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282</v>
      </c>
      <c r="AN46">
        <v>0</v>
      </c>
      <c r="AO46">
        <v>282</v>
      </c>
      <c r="AP46">
        <v>0</v>
      </c>
      <c r="AQ46">
        <v>0</v>
      </c>
      <c r="AR46">
        <v>0</v>
      </c>
      <c r="AS46">
        <v>11</v>
      </c>
      <c r="AT46">
        <v>127</v>
      </c>
      <c r="AU46">
        <v>155</v>
      </c>
      <c r="AV46">
        <v>33</v>
      </c>
      <c r="AW46">
        <v>180</v>
      </c>
      <c r="AX46">
        <v>8</v>
      </c>
      <c r="AY46">
        <v>59</v>
      </c>
      <c r="AZ46">
        <v>1</v>
      </c>
      <c r="BA46">
        <v>1</v>
      </c>
      <c r="BB46">
        <v>0</v>
      </c>
      <c r="BC46">
        <v>0</v>
      </c>
      <c r="BD46">
        <v>273</v>
      </c>
      <c r="BE46">
        <v>9</v>
      </c>
      <c r="BF46">
        <v>0</v>
      </c>
      <c r="BG46">
        <v>0</v>
      </c>
      <c r="BH46" t="s">
        <v>10</v>
      </c>
      <c r="BI46" t="s">
        <v>97</v>
      </c>
      <c r="BJ46" t="s">
        <v>98</v>
      </c>
      <c r="BK46" t="s">
        <v>99</v>
      </c>
      <c r="BL46" s="33" t="s">
        <v>11</v>
      </c>
      <c r="BM46" s="33" t="s">
        <v>100</v>
      </c>
      <c r="BN46" s="33" t="s">
        <v>100</v>
      </c>
      <c r="BO46" s="33" t="s">
        <v>100</v>
      </c>
      <c r="BP46" s="33" t="s">
        <v>101</v>
      </c>
    </row>
    <row r="47" spans="1:68" x14ac:dyDescent="0.25">
      <c r="A47" t="s">
        <v>91</v>
      </c>
      <c r="B47" t="s">
        <v>92</v>
      </c>
      <c r="C47" s="33" t="s">
        <v>18</v>
      </c>
      <c r="D47">
        <v>35</v>
      </c>
      <c r="E47" s="33" t="s">
        <v>20</v>
      </c>
      <c r="F47">
        <v>3543907</v>
      </c>
      <c r="G47" t="s">
        <v>266</v>
      </c>
      <c r="H47">
        <v>35067398</v>
      </c>
      <c r="I47">
        <v>3</v>
      </c>
      <c r="J47">
        <v>1</v>
      </c>
      <c r="K47">
        <v>0</v>
      </c>
      <c r="L47" t="s">
        <v>267</v>
      </c>
      <c r="M47" t="s">
        <v>268</v>
      </c>
      <c r="N47" t="s">
        <v>187</v>
      </c>
      <c r="O47" t="s">
        <v>269</v>
      </c>
      <c r="P47">
        <v>13502120</v>
      </c>
      <c r="Q47">
        <v>1</v>
      </c>
      <c r="R47">
        <v>1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326</v>
      </c>
      <c r="AN47">
        <v>326</v>
      </c>
      <c r="AO47">
        <v>0</v>
      </c>
      <c r="AP47">
        <v>0</v>
      </c>
      <c r="AQ47">
        <v>0</v>
      </c>
      <c r="AR47">
        <v>0</v>
      </c>
      <c r="AS47">
        <v>15</v>
      </c>
      <c r="AT47">
        <v>180</v>
      </c>
      <c r="AU47">
        <v>146</v>
      </c>
      <c r="AV47">
        <v>16</v>
      </c>
      <c r="AW47">
        <v>211</v>
      </c>
      <c r="AX47">
        <v>15</v>
      </c>
      <c r="AY47">
        <v>81</v>
      </c>
      <c r="AZ47">
        <v>2</v>
      </c>
      <c r="BA47">
        <v>1</v>
      </c>
      <c r="BB47">
        <v>86</v>
      </c>
      <c r="BC47">
        <v>219</v>
      </c>
      <c r="BD47">
        <v>21</v>
      </c>
      <c r="BE47">
        <v>0</v>
      </c>
      <c r="BF47">
        <v>0</v>
      </c>
      <c r="BG47">
        <v>0</v>
      </c>
      <c r="BH47" t="s">
        <v>10</v>
      </c>
      <c r="BI47" t="s">
        <v>97</v>
      </c>
      <c r="BJ47" t="s">
        <v>98</v>
      </c>
      <c r="BK47" t="s">
        <v>99</v>
      </c>
      <c r="BL47" s="33" t="s">
        <v>11</v>
      </c>
      <c r="BM47" s="33" t="s">
        <v>100</v>
      </c>
      <c r="BN47" s="33" t="s">
        <v>100</v>
      </c>
      <c r="BO47" s="33" t="s">
        <v>100</v>
      </c>
      <c r="BP47" s="33" t="s">
        <v>101</v>
      </c>
    </row>
    <row r="48" spans="1:68" x14ac:dyDescent="0.25">
      <c r="A48" t="s">
        <v>91</v>
      </c>
      <c r="B48" t="s">
        <v>92</v>
      </c>
      <c r="C48" s="33" t="s">
        <v>18</v>
      </c>
      <c r="D48">
        <v>35</v>
      </c>
      <c r="E48" s="33" t="s">
        <v>20</v>
      </c>
      <c r="F48">
        <v>3543907</v>
      </c>
      <c r="G48" t="s">
        <v>270</v>
      </c>
      <c r="H48">
        <v>35074871</v>
      </c>
      <c r="I48">
        <v>3</v>
      </c>
      <c r="J48">
        <v>1</v>
      </c>
      <c r="K48">
        <v>0</v>
      </c>
      <c r="L48" t="s">
        <v>271</v>
      </c>
      <c r="M48" t="s">
        <v>272</v>
      </c>
      <c r="N48" t="s">
        <v>192</v>
      </c>
      <c r="O48" t="s">
        <v>273</v>
      </c>
      <c r="P48">
        <v>13500280</v>
      </c>
      <c r="Q48">
        <v>1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675</v>
      </c>
      <c r="AN48">
        <v>0</v>
      </c>
      <c r="AO48">
        <v>627</v>
      </c>
      <c r="AP48">
        <v>0</v>
      </c>
      <c r="AQ48">
        <v>0</v>
      </c>
      <c r="AR48">
        <v>48</v>
      </c>
      <c r="AS48">
        <v>31</v>
      </c>
      <c r="AT48">
        <v>329</v>
      </c>
      <c r="AU48">
        <v>346</v>
      </c>
      <c r="AV48">
        <v>57</v>
      </c>
      <c r="AW48">
        <v>392</v>
      </c>
      <c r="AX48">
        <v>23</v>
      </c>
      <c r="AY48">
        <v>201</v>
      </c>
      <c r="AZ48">
        <v>1</v>
      </c>
      <c r="BA48">
        <v>1</v>
      </c>
      <c r="BB48">
        <v>0</v>
      </c>
      <c r="BC48">
        <v>0</v>
      </c>
      <c r="BD48">
        <v>600</v>
      </c>
      <c r="BE48">
        <v>27</v>
      </c>
      <c r="BF48">
        <v>12</v>
      </c>
      <c r="BG48">
        <v>36</v>
      </c>
      <c r="BH48" t="s">
        <v>10</v>
      </c>
      <c r="BI48" t="s">
        <v>97</v>
      </c>
      <c r="BJ48" t="s">
        <v>98</v>
      </c>
      <c r="BK48" t="s">
        <v>99</v>
      </c>
      <c r="BL48" s="33" t="s">
        <v>13</v>
      </c>
      <c r="BM48" s="33" t="s">
        <v>100</v>
      </c>
      <c r="BN48" s="33" t="s">
        <v>100</v>
      </c>
      <c r="BO48" s="33" t="s">
        <v>100</v>
      </c>
      <c r="BP48" s="33" t="s">
        <v>101</v>
      </c>
    </row>
    <row r="49" spans="1:68" x14ac:dyDescent="0.25">
      <c r="A49" t="s">
        <v>91</v>
      </c>
      <c r="B49" t="s">
        <v>92</v>
      </c>
      <c r="C49" s="33" t="s">
        <v>18</v>
      </c>
      <c r="D49">
        <v>35</v>
      </c>
      <c r="E49" s="33" t="s">
        <v>20</v>
      </c>
      <c r="F49">
        <v>3543907</v>
      </c>
      <c r="G49" t="s">
        <v>274</v>
      </c>
      <c r="H49">
        <v>35083203</v>
      </c>
      <c r="I49">
        <v>3</v>
      </c>
      <c r="J49">
        <v>1</v>
      </c>
      <c r="K49">
        <v>0</v>
      </c>
      <c r="L49" t="s">
        <v>275</v>
      </c>
      <c r="M49" t="s">
        <v>276</v>
      </c>
      <c r="N49" t="s">
        <v>187</v>
      </c>
      <c r="O49" t="s">
        <v>277</v>
      </c>
      <c r="P49">
        <v>13506040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327</v>
      </c>
      <c r="AN49">
        <v>0</v>
      </c>
      <c r="AO49">
        <v>327</v>
      </c>
      <c r="AP49">
        <v>0</v>
      </c>
      <c r="AQ49">
        <v>0</v>
      </c>
      <c r="AR49">
        <v>0</v>
      </c>
      <c r="AS49">
        <v>14</v>
      </c>
      <c r="AT49">
        <v>161</v>
      </c>
      <c r="AU49">
        <v>166</v>
      </c>
      <c r="AV49">
        <v>32</v>
      </c>
      <c r="AW49">
        <v>226</v>
      </c>
      <c r="AX49">
        <v>8</v>
      </c>
      <c r="AY49">
        <v>59</v>
      </c>
      <c r="AZ49">
        <v>2</v>
      </c>
      <c r="BA49">
        <v>0</v>
      </c>
      <c r="BB49">
        <v>0</v>
      </c>
      <c r="BC49">
        <v>0</v>
      </c>
      <c r="BD49">
        <v>311</v>
      </c>
      <c r="BE49">
        <v>16</v>
      </c>
      <c r="BF49">
        <v>0</v>
      </c>
      <c r="BG49">
        <v>0</v>
      </c>
      <c r="BH49" t="s">
        <v>10</v>
      </c>
      <c r="BI49" t="s">
        <v>97</v>
      </c>
      <c r="BJ49" t="s">
        <v>98</v>
      </c>
      <c r="BK49" t="s">
        <v>99</v>
      </c>
      <c r="BL49" s="33" t="s">
        <v>11</v>
      </c>
      <c r="BM49" s="33" t="s">
        <v>100</v>
      </c>
      <c r="BN49" s="33" t="s">
        <v>100</v>
      </c>
      <c r="BO49" s="33" t="s">
        <v>100</v>
      </c>
      <c r="BP49" s="33" t="s">
        <v>101</v>
      </c>
    </row>
    <row r="50" spans="1:68" x14ac:dyDescent="0.25">
      <c r="A50" t="s">
        <v>91</v>
      </c>
      <c r="B50" t="s">
        <v>92</v>
      </c>
      <c r="C50" s="33" t="s">
        <v>18</v>
      </c>
      <c r="D50">
        <v>35</v>
      </c>
      <c r="E50" s="33" t="s">
        <v>20</v>
      </c>
      <c r="F50">
        <v>3543907</v>
      </c>
      <c r="G50" t="s">
        <v>278</v>
      </c>
      <c r="H50">
        <v>35083215</v>
      </c>
      <c r="I50">
        <v>3</v>
      </c>
      <c r="J50">
        <v>1</v>
      </c>
      <c r="K50">
        <v>0</v>
      </c>
      <c r="L50" t="s">
        <v>279</v>
      </c>
      <c r="M50" t="s">
        <v>280</v>
      </c>
      <c r="N50" t="s">
        <v>187</v>
      </c>
      <c r="O50" t="s">
        <v>228</v>
      </c>
      <c r="P50">
        <v>13504099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314</v>
      </c>
      <c r="AN50">
        <v>314</v>
      </c>
      <c r="AO50">
        <v>0</v>
      </c>
      <c r="AP50">
        <v>0</v>
      </c>
      <c r="AQ50">
        <v>0</v>
      </c>
      <c r="AR50">
        <v>0</v>
      </c>
      <c r="AS50">
        <v>12</v>
      </c>
      <c r="AT50">
        <v>156</v>
      </c>
      <c r="AU50">
        <v>158</v>
      </c>
      <c r="AV50">
        <v>21</v>
      </c>
      <c r="AW50">
        <v>221</v>
      </c>
      <c r="AX50">
        <v>7</v>
      </c>
      <c r="AY50">
        <v>65</v>
      </c>
      <c r="AZ50">
        <v>0</v>
      </c>
      <c r="BA50">
        <v>0</v>
      </c>
      <c r="BB50">
        <v>73</v>
      </c>
      <c r="BC50">
        <v>217</v>
      </c>
      <c r="BD50">
        <v>24</v>
      </c>
      <c r="BE50">
        <v>0</v>
      </c>
      <c r="BF50">
        <v>0</v>
      </c>
      <c r="BG50">
        <v>0</v>
      </c>
      <c r="BH50" t="s">
        <v>10</v>
      </c>
      <c r="BI50" t="s">
        <v>97</v>
      </c>
      <c r="BJ50" t="s">
        <v>98</v>
      </c>
      <c r="BK50" t="s">
        <v>99</v>
      </c>
      <c r="BL50" s="33" t="s">
        <v>11</v>
      </c>
      <c r="BM50" s="33" t="s">
        <v>100</v>
      </c>
      <c r="BN50" s="33" t="s">
        <v>100</v>
      </c>
      <c r="BO50" s="33" t="s">
        <v>100</v>
      </c>
      <c r="BP50" s="33" t="s">
        <v>101</v>
      </c>
    </row>
    <row r="51" spans="1:68" x14ac:dyDescent="0.25">
      <c r="A51" t="s">
        <v>91</v>
      </c>
      <c r="B51" t="s">
        <v>92</v>
      </c>
      <c r="C51" s="33" t="s">
        <v>18</v>
      </c>
      <c r="D51">
        <v>35</v>
      </c>
      <c r="E51" s="33" t="s">
        <v>20</v>
      </c>
      <c r="F51">
        <v>3543907</v>
      </c>
      <c r="G51" t="s">
        <v>281</v>
      </c>
      <c r="H51">
        <v>35083914</v>
      </c>
      <c r="I51">
        <v>3</v>
      </c>
      <c r="J51">
        <v>1</v>
      </c>
      <c r="K51">
        <v>0</v>
      </c>
      <c r="L51" t="s">
        <v>282</v>
      </c>
      <c r="M51" t="s">
        <v>283</v>
      </c>
      <c r="N51" t="s">
        <v>187</v>
      </c>
      <c r="O51" t="s">
        <v>241</v>
      </c>
      <c r="P51">
        <v>13506079</v>
      </c>
      <c r="Q51">
        <v>1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340</v>
      </c>
      <c r="AN51">
        <v>340</v>
      </c>
      <c r="AO51">
        <v>0</v>
      </c>
      <c r="AP51">
        <v>0</v>
      </c>
      <c r="AQ51">
        <v>0</v>
      </c>
      <c r="AR51">
        <v>0</v>
      </c>
      <c r="AS51">
        <v>16</v>
      </c>
      <c r="AT51">
        <v>169</v>
      </c>
      <c r="AU51">
        <v>171</v>
      </c>
      <c r="AV51">
        <v>16</v>
      </c>
      <c r="AW51">
        <v>222</v>
      </c>
      <c r="AX51">
        <v>13</v>
      </c>
      <c r="AY51">
        <v>89</v>
      </c>
      <c r="AZ51">
        <v>0</v>
      </c>
      <c r="BA51">
        <v>0</v>
      </c>
      <c r="BB51">
        <v>112</v>
      </c>
      <c r="BC51">
        <v>208</v>
      </c>
      <c r="BD51">
        <v>20</v>
      </c>
      <c r="BE51">
        <v>0</v>
      </c>
      <c r="BF51">
        <v>0</v>
      </c>
      <c r="BG51">
        <v>0</v>
      </c>
      <c r="BH51" t="s">
        <v>10</v>
      </c>
      <c r="BI51" t="s">
        <v>97</v>
      </c>
      <c r="BJ51" t="s">
        <v>98</v>
      </c>
      <c r="BK51" t="s">
        <v>99</v>
      </c>
      <c r="BL51" s="33" t="s">
        <v>11</v>
      </c>
      <c r="BM51" s="33" t="s">
        <v>100</v>
      </c>
      <c r="BN51" s="33" t="s">
        <v>100</v>
      </c>
      <c r="BO51" s="33" t="s">
        <v>100</v>
      </c>
      <c r="BP51" s="33" t="s">
        <v>101</v>
      </c>
    </row>
    <row r="52" spans="1:68" x14ac:dyDescent="0.25">
      <c r="A52" t="s">
        <v>91</v>
      </c>
      <c r="B52" t="s">
        <v>92</v>
      </c>
      <c r="C52" s="33" t="s">
        <v>18</v>
      </c>
      <c r="D52">
        <v>35</v>
      </c>
      <c r="E52" s="33" t="s">
        <v>20</v>
      </c>
      <c r="F52">
        <v>3543907</v>
      </c>
      <c r="G52" t="s">
        <v>284</v>
      </c>
      <c r="H52">
        <v>35083926</v>
      </c>
      <c r="I52">
        <v>3</v>
      </c>
      <c r="J52">
        <v>1</v>
      </c>
      <c r="K52">
        <v>0</v>
      </c>
      <c r="L52" t="s">
        <v>285</v>
      </c>
      <c r="M52" t="s">
        <v>286</v>
      </c>
      <c r="N52" t="s">
        <v>187</v>
      </c>
      <c r="O52" t="s">
        <v>129</v>
      </c>
      <c r="P52">
        <v>13501340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734</v>
      </c>
      <c r="AN52">
        <v>188</v>
      </c>
      <c r="AO52">
        <v>546</v>
      </c>
      <c r="AP52">
        <v>0</v>
      </c>
      <c r="AQ52">
        <v>0</v>
      </c>
      <c r="AR52">
        <v>0</v>
      </c>
      <c r="AS52">
        <v>25</v>
      </c>
      <c r="AT52">
        <v>367</v>
      </c>
      <c r="AU52">
        <v>367</v>
      </c>
      <c r="AV52">
        <v>74</v>
      </c>
      <c r="AW52">
        <v>517</v>
      </c>
      <c r="AX52">
        <v>29</v>
      </c>
      <c r="AY52">
        <v>112</v>
      </c>
      <c r="AZ52">
        <v>2</v>
      </c>
      <c r="BA52">
        <v>0</v>
      </c>
      <c r="BB52">
        <v>47</v>
      </c>
      <c r="BC52">
        <v>126</v>
      </c>
      <c r="BD52">
        <v>539</v>
      </c>
      <c r="BE52">
        <v>22</v>
      </c>
      <c r="BF52">
        <v>0</v>
      </c>
      <c r="BG52">
        <v>0</v>
      </c>
      <c r="BH52" t="s">
        <v>10</v>
      </c>
      <c r="BI52" t="s">
        <v>97</v>
      </c>
      <c r="BJ52" t="s">
        <v>98</v>
      </c>
      <c r="BK52" t="s">
        <v>99</v>
      </c>
      <c r="BL52" s="33" t="s">
        <v>13</v>
      </c>
      <c r="BM52" s="33" t="s">
        <v>100</v>
      </c>
      <c r="BN52" s="33" t="s">
        <v>100</v>
      </c>
      <c r="BO52" s="33" t="s">
        <v>100</v>
      </c>
      <c r="BP52" s="33" t="s">
        <v>101</v>
      </c>
    </row>
    <row r="53" spans="1:68" x14ac:dyDescent="0.25">
      <c r="A53" t="s">
        <v>91</v>
      </c>
      <c r="B53" t="s">
        <v>92</v>
      </c>
      <c r="C53" s="33" t="s">
        <v>18</v>
      </c>
      <c r="D53">
        <v>35</v>
      </c>
      <c r="E53" s="33" t="s">
        <v>20</v>
      </c>
      <c r="F53">
        <v>3543907</v>
      </c>
      <c r="G53" t="s">
        <v>287</v>
      </c>
      <c r="H53">
        <v>35086356</v>
      </c>
      <c r="I53">
        <v>3</v>
      </c>
      <c r="J53">
        <v>1</v>
      </c>
      <c r="K53">
        <v>0</v>
      </c>
      <c r="L53" t="s">
        <v>288</v>
      </c>
      <c r="M53" t="s">
        <v>289</v>
      </c>
      <c r="N53" t="s">
        <v>187</v>
      </c>
      <c r="O53" t="s">
        <v>290</v>
      </c>
      <c r="P53">
        <v>13506747</v>
      </c>
      <c r="Q53">
        <v>1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588</v>
      </c>
      <c r="AN53">
        <v>210</v>
      </c>
      <c r="AO53">
        <v>378</v>
      </c>
      <c r="AP53">
        <v>0</v>
      </c>
      <c r="AQ53">
        <v>0</v>
      </c>
      <c r="AR53">
        <v>0</v>
      </c>
      <c r="AS53">
        <v>33</v>
      </c>
      <c r="AT53">
        <v>293</v>
      </c>
      <c r="AU53">
        <v>295</v>
      </c>
      <c r="AV53">
        <v>193</v>
      </c>
      <c r="AW53">
        <v>317</v>
      </c>
      <c r="AX53">
        <v>19</v>
      </c>
      <c r="AY53">
        <v>58</v>
      </c>
      <c r="AZ53">
        <v>1</v>
      </c>
      <c r="BA53">
        <v>0</v>
      </c>
      <c r="BB53">
        <v>74</v>
      </c>
      <c r="BC53">
        <v>121</v>
      </c>
      <c r="BD53">
        <v>377</v>
      </c>
      <c r="BE53">
        <v>16</v>
      </c>
      <c r="BF53">
        <v>0</v>
      </c>
      <c r="BG53">
        <v>0</v>
      </c>
      <c r="BH53" t="s">
        <v>10</v>
      </c>
      <c r="BI53" t="s">
        <v>97</v>
      </c>
      <c r="BJ53" t="s">
        <v>98</v>
      </c>
      <c r="BK53" t="s">
        <v>99</v>
      </c>
      <c r="BL53" s="33" t="s">
        <v>13</v>
      </c>
      <c r="BM53" s="33" t="s">
        <v>100</v>
      </c>
      <c r="BN53" s="33" t="s">
        <v>100</v>
      </c>
      <c r="BO53" s="33" t="s">
        <v>100</v>
      </c>
      <c r="BP53" s="33" t="s">
        <v>101</v>
      </c>
    </row>
    <row r="54" spans="1:68" x14ac:dyDescent="0.25">
      <c r="A54" t="s">
        <v>91</v>
      </c>
      <c r="B54" t="s">
        <v>92</v>
      </c>
      <c r="C54" s="33" t="s">
        <v>18</v>
      </c>
      <c r="D54">
        <v>35</v>
      </c>
      <c r="E54" s="33" t="s">
        <v>20</v>
      </c>
      <c r="F54">
        <v>3543907</v>
      </c>
      <c r="G54" t="s">
        <v>291</v>
      </c>
      <c r="H54">
        <v>35093524</v>
      </c>
      <c r="I54">
        <v>3</v>
      </c>
      <c r="J54">
        <v>1</v>
      </c>
      <c r="K54">
        <v>0</v>
      </c>
      <c r="L54" t="s">
        <v>292</v>
      </c>
      <c r="M54" t="s">
        <v>293</v>
      </c>
      <c r="N54" t="s">
        <v>192</v>
      </c>
      <c r="O54" t="s">
        <v>294</v>
      </c>
      <c r="P54">
        <v>13504450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432</v>
      </c>
      <c r="AN54">
        <v>432</v>
      </c>
      <c r="AO54">
        <v>0</v>
      </c>
      <c r="AP54">
        <v>0</v>
      </c>
      <c r="AQ54">
        <v>0</v>
      </c>
      <c r="AR54">
        <v>0</v>
      </c>
      <c r="AS54">
        <v>11</v>
      </c>
      <c r="AT54">
        <v>196</v>
      </c>
      <c r="AU54">
        <v>236</v>
      </c>
      <c r="AV54">
        <v>188</v>
      </c>
      <c r="AW54">
        <v>159</v>
      </c>
      <c r="AX54">
        <v>5</v>
      </c>
      <c r="AY54">
        <v>78</v>
      </c>
      <c r="AZ54">
        <v>1</v>
      </c>
      <c r="BA54">
        <v>1</v>
      </c>
      <c r="BB54">
        <v>101</v>
      </c>
      <c r="BC54">
        <v>307</v>
      </c>
      <c r="BD54">
        <v>24</v>
      </c>
      <c r="BE54">
        <v>0</v>
      </c>
      <c r="BF54">
        <v>0</v>
      </c>
      <c r="BG54">
        <v>0</v>
      </c>
      <c r="BH54" t="s">
        <v>10</v>
      </c>
      <c r="BI54" t="s">
        <v>97</v>
      </c>
      <c r="BJ54" t="s">
        <v>98</v>
      </c>
      <c r="BK54" t="s">
        <v>99</v>
      </c>
      <c r="BL54" s="33" t="s">
        <v>11</v>
      </c>
      <c r="BM54" s="33" t="s">
        <v>100</v>
      </c>
      <c r="BN54" s="33" t="s">
        <v>100</v>
      </c>
      <c r="BO54" s="33" t="s">
        <v>100</v>
      </c>
      <c r="BP54" s="33" t="s">
        <v>101</v>
      </c>
    </row>
    <row r="55" spans="1:68" x14ac:dyDescent="0.25">
      <c r="A55" t="s">
        <v>91</v>
      </c>
      <c r="B55" t="s">
        <v>92</v>
      </c>
      <c r="C55" s="33" t="s">
        <v>18</v>
      </c>
      <c r="D55">
        <v>35</v>
      </c>
      <c r="E55" s="33" t="s">
        <v>20</v>
      </c>
      <c r="F55">
        <v>3543907</v>
      </c>
      <c r="G55" t="s">
        <v>295</v>
      </c>
      <c r="H55">
        <v>35093531</v>
      </c>
      <c r="I55">
        <v>3</v>
      </c>
      <c r="J55">
        <v>1</v>
      </c>
      <c r="K55">
        <v>0</v>
      </c>
      <c r="L55" t="s">
        <v>296</v>
      </c>
      <c r="M55" t="s">
        <v>297</v>
      </c>
      <c r="N55" t="s">
        <v>187</v>
      </c>
      <c r="O55" t="s">
        <v>175</v>
      </c>
      <c r="P55">
        <v>13506855</v>
      </c>
      <c r="Q55">
        <v>1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164</v>
      </c>
      <c r="AN55">
        <v>0</v>
      </c>
      <c r="AO55">
        <v>164</v>
      </c>
      <c r="AP55">
        <v>0</v>
      </c>
      <c r="AQ55">
        <v>0</v>
      </c>
      <c r="AR55">
        <v>0</v>
      </c>
      <c r="AS55">
        <v>8</v>
      </c>
      <c r="AT55">
        <v>74</v>
      </c>
      <c r="AU55">
        <v>90</v>
      </c>
      <c r="AV55">
        <v>10</v>
      </c>
      <c r="AW55">
        <v>118</v>
      </c>
      <c r="AX55">
        <v>8</v>
      </c>
      <c r="AY55">
        <v>27</v>
      </c>
      <c r="AZ55">
        <v>0</v>
      </c>
      <c r="BA55">
        <v>1</v>
      </c>
      <c r="BB55">
        <v>0</v>
      </c>
      <c r="BC55">
        <v>0</v>
      </c>
      <c r="BD55">
        <v>159</v>
      </c>
      <c r="BE55">
        <v>5</v>
      </c>
      <c r="BF55">
        <v>0</v>
      </c>
      <c r="BG55">
        <v>0</v>
      </c>
      <c r="BH55" t="s">
        <v>10</v>
      </c>
      <c r="BI55" t="s">
        <v>97</v>
      </c>
      <c r="BJ55" t="s">
        <v>98</v>
      </c>
      <c r="BK55" t="s">
        <v>99</v>
      </c>
      <c r="BL55" s="33" t="s">
        <v>9</v>
      </c>
      <c r="BM55" s="33" t="s">
        <v>100</v>
      </c>
      <c r="BN55" s="33" t="s">
        <v>100</v>
      </c>
      <c r="BO55" s="33" t="s">
        <v>100</v>
      </c>
      <c r="BP55" s="33" t="s">
        <v>101</v>
      </c>
    </row>
    <row r="56" spans="1:68" x14ac:dyDescent="0.25">
      <c r="A56" t="s">
        <v>91</v>
      </c>
      <c r="B56" t="s">
        <v>92</v>
      </c>
      <c r="C56" s="33" t="s">
        <v>18</v>
      </c>
      <c r="D56">
        <v>35</v>
      </c>
      <c r="E56" s="33" t="s">
        <v>20</v>
      </c>
      <c r="F56">
        <v>3543907</v>
      </c>
      <c r="G56" t="s">
        <v>298</v>
      </c>
      <c r="H56">
        <v>35114029</v>
      </c>
      <c r="I56">
        <v>4</v>
      </c>
      <c r="J56">
        <v>1</v>
      </c>
      <c r="K56">
        <v>0</v>
      </c>
      <c r="L56" t="s">
        <v>299</v>
      </c>
      <c r="M56" t="s">
        <v>300</v>
      </c>
      <c r="O56" t="s">
        <v>125</v>
      </c>
      <c r="P56">
        <v>13505007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771</v>
      </c>
      <c r="AN56">
        <v>0</v>
      </c>
      <c r="AO56">
        <v>576</v>
      </c>
      <c r="AP56">
        <v>195</v>
      </c>
      <c r="AQ56">
        <v>0</v>
      </c>
      <c r="AR56">
        <v>0</v>
      </c>
      <c r="AS56">
        <v>12</v>
      </c>
      <c r="AT56">
        <v>388</v>
      </c>
      <c r="AU56">
        <v>383</v>
      </c>
      <c r="AV56">
        <v>34</v>
      </c>
      <c r="AW56">
        <v>603</v>
      </c>
      <c r="AX56">
        <v>18</v>
      </c>
      <c r="AY56">
        <v>114</v>
      </c>
      <c r="AZ56">
        <v>2</v>
      </c>
      <c r="BA56">
        <v>0</v>
      </c>
      <c r="BB56">
        <v>0</v>
      </c>
      <c r="BC56">
        <v>0</v>
      </c>
      <c r="BD56">
        <v>309</v>
      </c>
      <c r="BE56">
        <v>264</v>
      </c>
      <c r="BF56">
        <v>193</v>
      </c>
      <c r="BG56">
        <v>5</v>
      </c>
      <c r="BH56" t="s">
        <v>12</v>
      </c>
      <c r="BI56" t="s">
        <v>97</v>
      </c>
      <c r="BJ56" t="s">
        <v>98</v>
      </c>
      <c r="BK56" t="s">
        <v>99</v>
      </c>
      <c r="BL56" s="33" t="s">
        <v>13</v>
      </c>
      <c r="BM56" s="33" t="s">
        <v>100</v>
      </c>
      <c r="BN56" s="33" t="s">
        <v>100</v>
      </c>
      <c r="BO56" s="33" t="s">
        <v>100</v>
      </c>
      <c r="BP56" s="33" t="s">
        <v>101</v>
      </c>
    </row>
    <row r="57" spans="1:68" x14ac:dyDescent="0.25">
      <c r="A57" t="s">
        <v>91</v>
      </c>
      <c r="B57" t="s">
        <v>92</v>
      </c>
      <c r="C57" s="33" t="s">
        <v>18</v>
      </c>
      <c r="D57">
        <v>35</v>
      </c>
      <c r="E57" s="33" t="s">
        <v>20</v>
      </c>
      <c r="F57">
        <v>3543907</v>
      </c>
      <c r="G57" t="s">
        <v>301</v>
      </c>
      <c r="H57">
        <v>35114030</v>
      </c>
      <c r="I57">
        <v>4</v>
      </c>
      <c r="J57">
        <v>1</v>
      </c>
      <c r="K57">
        <v>0</v>
      </c>
      <c r="L57" t="s">
        <v>302</v>
      </c>
      <c r="M57" t="s">
        <v>303</v>
      </c>
      <c r="N57" t="s">
        <v>187</v>
      </c>
      <c r="O57" t="s">
        <v>96</v>
      </c>
      <c r="P57">
        <v>13500143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916</v>
      </c>
      <c r="AN57">
        <v>81</v>
      </c>
      <c r="AO57">
        <v>580</v>
      </c>
      <c r="AP57">
        <v>255</v>
      </c>
      <c r="AQ57">
        <v>0</v>
      </c>
      <c r="AR57">
        <v>0</v>
      </c>
      <c r="AS57">
        <v>25</v>
      </c>
      <c r="AT57">
        <v>449</v>
      </c>
      <c r="AU57">
        <v>467</v>
      </c>
      <c r="AV57">
        <v>4</v>
      </c>
      <c r="AW57">
        <v>867</v>
      </c>
      <c r="AX57">
        <v>6</v>
      </c>
      <c r="AY57">
        <v>37</v>
      </c>
      <c r="AZ57">
        <v>2</v>
      </c>
      <c r="BA57">
        <v>0</v>
      </c>
      <c r="BB57">
        <v>19</v>
      </c>
      <c r="BC57">
        <v>59</v>
      </c>
      <c r="BD57">
        <v>284</v>
      </c>
      <c r="BE57">
        <v>304</v>
      </c>
      <c r="BF57">
        <v>241</v>
      </c>
      <c r="BG57">
        <v>9</v>
      </c>
      <c r="BH57" t="s">
        <v>12</v>
      </c>
      <c r="BI57" t="s">
        <v>97</v>
      </c>
      <c r="BJ57" t="s">
        <v>98</v>
      </c>
      <c r="BK57" t="s">
        <v>99</v>
      </c>
      <c r="BL57" s="33" t="s">
        <v>13</v>
      </c>
      <c r="BM57" s="33" t="s">
        <v>100</v>
      </c>
      <c r="BN57" s="33" t="s">
        <v>100</v>
      </c>
      <c r="BO57" s="33" t="s">
        <v>100</v>
      </c>
      <c r="BP57" s="33" t="s">
        <v>101</v>
      </c>
    </row>
    <row r="58" spans="1:68" x14ac:dyDescent="0.25">
      <c r="A58" t="s">
        <v>91</v>
      </c>
      <c r="B58" t="s">
        <v>92</v>
      </c>
      <c r="C58" s="33" t="s">
        <v>18</v>
      </c>
      <c r="D58">
        <v>35</v>
      </c>
      <c r="E58" s="33" t="s">
        <v>20</v>
      </c>
      <c r="F58">
        <v>3543907</v>
      </c>
      <c r="G58" t="s">
        <v>304</v>
      </c>
      <c r="H58">
        <v>35114042</v>
      </c>
      <c r="I58">
        <v>4</v>
      </c>
      <c r="J58">
        <v>1</v>
      </c>
      <c r="K58">
        <v>0</v>
      </c>
      <c r="L58" t="s">
        <v>305</v>
      </c>
      <c r="M58" t="s">
        <v>306</v>
      </c>
      <c r="N58" t="s">
        <v>192</v>
      </c>
      <c r="O58" t="s">
        <v>96</v>
      </c>
      <c r="P58">
        <v>13500430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243</v>
      </c>
      <c r="AN58">
        <v>0</v>
      </c>
      <c r="AO58">
        <v>122</v>
      </c>
      <c r="AP58">
        <v>80</v>
      </c>
      <c r="AQ58">
        <v>41</v>
      </c>
      <c r="AR58">
        <v>0</v>
      </c>
      <c r="AS58">
        <v>2</v>
      </c>
      <c r="AT58">
        <v>103</v>
      </c>
      <c r="AU58">
        <v>140</v>
      </c>
      <c r="AV58">
        <v>26</v>
      </c>
      <c r="AW58">
        <v>186</v>
      </c>
      <c r="AX58">
        <v>4</v>
      </c>
      <c r="AY58">
        <v>27</v>
      </c>
      <c r="AZ58">
        <v>0</v>
      </c>
      <c r="BA58">
        <v>0</v>
      </c>
      <c r="BB58">
        <v>0</v>
      </c>
      <c r="BC58">
        <v>0</v>
      </c>
      <c r="BD58">
        <v>57</v>
      </c>
      <c r="BE58">
        <v>65</v>
      </c>
      <c r="BF58">
        <v>69</v>
      </c>
      <c r="BG58">
        <v>52</v>
      </c>
      <c r="BH58" t="s">
        <v>12</v>
      </c>
      <c r="BI58" t="s">
        <v>97</v>
      </c>
      <c r="BJ58" t="s">
        <v>98</v>
      </c>
      <c r="BK58" t="s">
        <v>99</v>
      </c>
      <c r="BL58" s="33" t="s">
        <v>11</v>
      </c>
      <c r="BM58" s="33" t="s">
        <v>100</v>
      </c>
      <c r="BN58" s="33" t="s">
        <v>100</v>
      </c>
      <c r="BO58" s="33" t="s">
        <v>100</v>
      </c>
      <c r="BP58" s="33" t="s">
        <v>101</v>
      </c>
    </row>
    <row r="59" spans="1:68" x14ac:dyDescent="0.25">
      <c r="A59" t="s">
        <v>91</v>
      </c>
      <c r="B59" t="s">
        <v>92</v>
      </c>
      <c r="C59" s="33" t="s">
        <v>18</v>
      </c>
      <c r="D59">
        <v>35</v>
      </c>
      <c r="E59" s="33" t="s">
        <v>20</v>
      </c>
      <c r="F59">
        <v>3543907</v>
      </c>
      <c r="G59" t="s">
        <v>307</v>
      </c>
      <c r="H59">
        <v>35114066</v>
      </c>
      <c r="I59">
        <v>4</v>
      </c>
      <c r="J59">
        <v>1</v>
      </c>
      <c r="K59">
        <v>0</v>
      </c>
      <c r="L59" t="s">
        <v>308</v>
      </c>
      <c r="M59" t="s">
        <v>309</v>
      </c>
      <c r="N59" t="s">
        <v>192</v>
      </c>
      <c r="O59" t="s">
        <v>221</v>
      </c>
      <c r="P59">
        <v>13503257</v>
      </c>
      <c r="Q59">
        <v>1</v>
      </c>
      <c r="R59">
        <v>1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749</v>
      </c>
      <c r="AN59">
        <v>35</v>
      </c>
      <c r="AO59">
        <v>478</v>
      </c>
      <c r="AP59">
        <v>236</v>
      </c>
      <c r="AQ59">
        <v>0</v>
      </c>
      <c r="AR59">
        <v>0</v>
      </c>
      <c r="AS59">
        <v>10</v>
      </c>
      <c r="AT59">
        <v>402</v>
      </c>
      <c r="AU59">
        <v>347</v>
      </c>
      <c r="AV59">
        <v>22</v>
      </c>
      <c r="AW59">
        <v>690</v>
      </c>
      <c r="AX59">
        <v>6</v>
      </c>
      <c r="AY59">
        <v>26</v>
      </c>
      <c r="AZ59">
        <v>5</v>
      </c>
      <c r="BA59">
        <v>0</v>
      </c>
      <c r="BB59">
        <v>5</v>
      </c>
      <c r="BC59">
        <v>28</v>
      </c>
      <c r="BD59">
        <v>228</v>
      </c>
      <c r="BE59">
        <v>253</v>
      </c>
      <c r="BF59">
        <v>231</v>
      </c>
      <c r="BG59">
        <v>4</v>
      </c>
      <c r="BH59" t="s">
        <v>12</v>
      </c>
      <c r="BI59" t="s">
        <v>97</v>
      </c>
      <c r="BJ59" t="s">
        <v>98</v>
      </c>
      <c r="BK59" t="s">
        <v>99</v>
      </c>
      <c r="BL59" s="33" t="s">
        <v>13</v>
      </c>
      <c r="BM59" s="33" t="s">
        <v>100</v>
      </c>
      <c r="BN59" s="33" t="s">
        <v>100</v>
      </c>
      <c r="BO59" s="33" t="s">
        <v>100</v>
      </c>
      <c r="BP59" s="33" t="s">
        <v>101</v>
      </c>
    </row>
    <row r="60" spans="1:68" x14ac:dyDescent="0.25">
      <c r="A60" t="s">
        <v>91</v>
      </c>
      <c r="B60" t="s">
        <v>92</v>
      </c>
      <c r="C60" s="33" t="s">
        <v>18</v>
      </c>
      <c r="D60">
        <v>35</v>
      </c>
      <c r="E60" s="33" t="s">
        <v>20</v>
      </c>
      <c r="F60">
        <v>3543907</v>
      </c>
      <c r="G60" t="s">
        <v>310</v>
      </c>
      <c r="H60">
        <v>35114078</v>
      </c>
      <c r="I60">
        <v>4</v>
      </c>
      <c r="J60">
        <v>1</v>
      </c>
      <c r="K60">
        <v>0</v>
      </c>
      <c r="L60" t="s">
        <v>135</v>
      </c>
      <c r="M60" t="s">
        <v>311</v>
      </c>
      <c r="N60" t="s">
        <v>187</v>
      </c>
      <c r="O60" t="s">
        <v>96</v>
      </c>
      <c r="P60">
        <v>13500181</v>
      </c>
      <c r="Q60">
        <v>1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958</v>
      </c>
      <c r="AN60">
        <v>102</v>
      </c>
      <c r="AO60">
        <v>632</v>
      </c>
      <c r="AP60">
        <v>224</v>
      </c>
      <c r="AQ60">
        <v>0</v>
      </c>
      <c r="AR60">
        <v>0</v>
      </c>
      <c r="AS60">
        <v>28</v>
      </c>
      <c r="AT60">
        <v>494</v>
      </c>
      <c r="AU60">
        <v>464</v>
      </c>
      <c r="AV60">
        <v>143</v>
      </c>
      <c r="AW60">
        <v>798</v>
      </c>
      <c r="AX60">
        <v>2</v>
      </c>
      <c r="AY60">
        <v>10</v>
      </c>
      <c r="AZ60">
        <v>4</v>
      </c>
      <c r="BA60">
        <v>1</v>
      </c>
      <c r="BB60">
        <v>45</v>
      </c>
      <c r="BC60">
        <v>51</v>
      </c>
      <c r="BD60">
        <v>296</v>
      </c>
      <c r="BE60">
        <v>353</v>
      </c>
      <c r="BF60">
        <v>209</v>
      </c>
      <c r="BG60">
        <v>4</v>
      </c>
      <c r="BH60" t="s">
        <v>12</v>
      </c>
      <c r="BI60" t="s">
        <v>97</v>
      </c>
      <c r="BJ60" t="s">
        <v>98</v>
      </c>
      <c r="BK60" t="s">
        <v>99</v>
      </c>
      <c r="BL60" s="33" t="s">
        <v>13</v>
      </c>
      <c r="BM60" s="33" t="s">
        <v>100</v>
      </c>
      <c r="BN60" s="33" t="s">
        <v>100</v>
      </c>
      <c r="BO60" s="33" t="s">
        <v>100</v>
      </c>
      <c r="BP60" s="33" t="s">
        <v>101</v>
      </c>
    </row>
    <row r="61" spans="1:68" x14ac:dyDescent="0.25">
      <c r="A61" t="s">
        <v>91</v>
      </c>
      <c r="B61" t="s">
        <v>92</v>
      </c>
      <c r="C61" s="33" t="s">
        <v>18</v>
      </c>
      <c r="D61">
        <v>35</v>
      </c>
      <c r="E61" s="33" t="s">
        <v>20</v>
      </c>
      <c r="F61">
        <v>3543907</v>
      </c>
      <c r="G61" t="s">
        <v>312</v>
      </c>
      <c r="H61">
        <v>35121903</v>
      </c>
      <c r="I61">
        <v>3</v>
      </c>
      <c r="J61">
        <v>1</v>
      </c>
      <c r="K61">
        <v>0</v>
      </c>
      <c r="L61" t="s">
        <v>313</v>
      </c>
      <c r="M61" t="s">
        <v>314</v>
      </c>
      <c r="N61" t="s">
        <v>187</v>
      </c>
      <c r="O61" t="s">
        <v>175</v>
      </c>
      <c r="P61">
        <v>13506871</v>
      </c>
      <c r="Q61">
        <v>1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65</v>
      </c>
      <c r="AN61">
        <v>65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25</v>
      </c>
      <c r="AU61">
        <v>40</v>
      </c>
      <c r="AV61">
        <v>4</v>
      </c>
      <c r="AW61">
        <v>52</v>
      </c>
      <c r="AX61">
        <v>3</v>
      </c>
      <c r="AY61">
        <v>6</v>
      </c>
      <c r="AZ61">
        <v>0</v>
      </c>
      <c r="BA61">
        <v>0</v>
      </c>
      <c r="BB61">
        <v>63</v>
      </c>
      <c r="BC61">
        <v>2</v>
      </c>
      <c r="BD61">
        <v>0</v>
      </c>
      <c r="BE61">
        <v>0</v>
      </c>
      <c r="BF61">
        <v>0</v>
      </c>
      <c r="BG61">
        <v>0</v>
      </c>
      <c r="BH61" t="s">
        <v>10</v>
      </c>
      <c r="BI61" t="s">
        <v>97</v>
      </c>
      <c r="BJ61" t="s">
        <v>98</v>
      </c>
      <c r="BK61" t="s">
        <v>99</v>
      </c>
      <c r="BL61" s="33" t="s">
        <v>9</v>
      </c>
      <c r="BM61" s="33" t="s">
        <v>100</v>
      </c>
      <c r="BN61" s="33" t="s">
        <v>100</v>
      </c>
      <c r="BO61" s="33" t="s">
        <v>100</v>
      </c>
      <c r="BP61" s="33" t="s">
        <v>101</v>
      </c>
    </row>
    <row r="62" spans="1:68" x14ac:dyDescent="0.25">
      <c r="A62" t="s">
        <v>91</v>
      </c>
      <c r="B62" t="s">
        <v>92</v>
      </c>
      <c r="C62" s="33" t="s">
        <v>18</v>
      </c>
      <c r="D62">
        <v>35</v>
      </c>
      <c r="E62" s="33" t="s">
        <v>20</v>
      </c>
      <c r="F62">
        <v>3543907</v>
      </c>
      <c r="G62" t="s">
        <v>315</v>
      </c>
      <c r="H62">
        <v>35126251</v>
      </c>
      <c r="I62">
        <v>4</v>
      </c>
      <c r="J62">
        <v>1</v>
      </c>
      <c r="K62">
        <v>0</v>
      </c>
      <c r="L62" t="s">
        <v>316</v>
      </c>
      <c r="M62" t="s">
        <v>317</v>
      </c>
      <c r="N62" t="s">
        <v>187</v>
      </c>
      <c r="O62" t="s">
        <v>188</v>
      </c>
      <c r="P62">
        <v>13506743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581</v>
      </c>
      <c r="AN62">
        <v>69</v>
      </c>
      <c r="AO62">
        <v>512</v>
      </c>
      <c r="AP62">
        <v>0</v>
      </c>
      <c r="AQ62">
        <v>0</v>
      </c>
      <c r="AR62">
        <v>0</v>
      </c>
      <c r="AS62">
        <v>7</v>
      </c>
      <c r="AT62">
        <v>293</v>
      </c>
      <c r="AU62">
        <v>288</v>
      </c>
      <c r="AV62">
        <v>59</v>
      </c>
      <c r="AW62">
        <v>451</v>
      </c>
      <c r="AX62">
        <v>15</v>
      </c>
      <c r="AY62">
        <v>55</v>
      </c>
      <c r="AZ62">
        <v>1</v>
      </c>
      <c r="BA62">
        <v>0</v>
      </c>
      <c r="BB62">
        <v>12</v>
      </c>
      <c r="BC62">
        <v>50</v>
      </c>
      <c r="BD62">
        <v>302</v>
      </c>
      <c r="BE62">
        <v>210</v>
      </c>
      <c r="BF62">
        <v>7</v>
      </c>
      <c r="BG62">
        <v>0</v>
      </c>
      <c r="BH62" t="s">
        <v>12</v>
      </c>
      <c r="BI62" t="s">
        <v>97</v>
      </c>
      <c r="BJ62" t="s">
        <v>98</v>
      </c>
      <c r="BK62" t="s">
        <v>99</v>
      </c>
      <c r="BL62" s="33" t="s">
        <v>13</v>
      </c>
      <c r="BM62" s="33" t="s">
        <v>100</v>
      </c>
      <c r="BN62" s="33" t="s">
        <v>100</v>
      </c>
      <c r="BO62" s="33" t="s">
        <v>100</v>
      </c>
      <c r="BP62" s="33" t="s">
        <v>101</v>
      </c>
    </row>
    <row r="63" spans="1:68" x14ac:dyDescent="0.25">
      <c r="A63" t="s">
        <v>91</v>
      </c>
      <c r="B63" t="s">
        <v>92</v>
      </c>
      <c r="C63" s="33" t="s">
        <v>18</v>
      </c>
      <c r="D63">
        <v>35</v>
      </c>
      <c r="E63" s="33" t="s">
        <v>20</v>
      </c>
      <c r="F63">
        <v>3543907</v>
      </c>
      <c r="G63" t="s">
        <v>318</v>
      </c>
      <c r="H63">
        <v>35138368</v>
      </c>
      <c r="I63">
        <v>4</v>
      </c>
      <c r="J63">
        <v>1</v>
      </c>
      <c r="L63" t="s">
        <v>319</v>
      </c>
      <c r="M63" t="s">
        <v>320</v>
      </c>
      <c r="N63" t="s">
        <v>187</v>
      </c>
      <c r="O63" t="s">
        <v>321</v>
      </c>
      <c r="P63">
        <v>13500110</v>
      </c>
      <c r="Q63">
        <v>2</v>
      </c>
      <c r="BH63" t="s">
        <v>12</v>
      </c>
      <c r="BI63" t="s">
        <v>97</v>
      </c>
      <c r="BK63" t="s">
        <v>194</v>
      </c>
      <c r="BL63" s="33" t="s">
        <v>15</v>
      </c>
      <c r="BM63" s="33" t="s">
        <v>15</v>
      </c>
      <c r="BN63" s="33" t="s">
        <v>15</v>
      </c>
      <c r="BO63" s="33" t="s">
        <v>15</v>
      </c>
      <c r="BP63" s="33" t="s">
        <v>15</v>
      </c>
    </row>
    <row r="64" spans="1:68" x14ac:dyDescent="0.25">
      <c r="A64" t="s">
        <v>91</v>
      </c>
      <c r="B64" t="s">
        <v>92</v>
      </c>
      <c r="C64" s="33" t="s">
        <v>18</v>
      </c>
      <c r="D64">
        <v>35</v>
      </c>
      <c r="E64" s="33" t="s">
        <v>20</v>
      </c>
      <c r="F64">
        <v>3543907</v>
      </c>
      <c r="G64" t="s">
        <v>322</v>
      </c>
      <c r="H64">
        <v>35145524</v>
      </c>
      <c r="I64">
        <v>4</v>
      </c>
      <c r="J64">
        <v>1</v>
      </c>
      <c r="K64">
        <v>0</v>
      </c>
      <c r="L64" t="s">
        <v>323</v>
      </c>
      <c r="M64" t="s">
        <v>324</v>
      </c>
      <c r="O64" t="s">
        <v>221</v>
      </c>
      <c r="P64">
        <v>13503280</v>
      </c>
      <c r="Q64">
        <v>1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210</v>
      </c>
      <c r="AN64">
        <v>0</v>
      </c>
      <c r="AO64">
        <v>210</v>
      </c>
      <c r="AP64">
        <v>0</v>
      </c>
      <c r="AQ64">
        <v>0</v>
      </c>
      <c r="AR64">
        <v>0</v>
      </c>
      <c r="AS64">
        <v>210</v>
      </c>
      <c r="AT64">
        <v>86</v>
      </c>
      <c r="AU64">
        <v>124</v>
      </c>
      <c r="AV64">
        <v>12</v>
      </c>
      <c r="AW64">
        <v>150</v>
      </c>
      <c r="AX64">
        <v>2</v>
      </c>
      <c r="AY64">
        <v>46</v>
      </c>
      <c r="AZ64">
        <v>0</v>
      </c>
      <c r="BA64">
        <v>0</v>
      </c>
      <c r="BB64">
        <v>0</v>
      </c>
      <c r="BC64">
        <v>0</v>
      </c>
      <c r="BD64">
        <v>14</v>
      </c>
      <c r="BE64">
        <v>27</v>
      </c>
      <c r="BF64">
        <v>18</v>
      </c>
      <c r="BG64">
        <v>151</v>
      </c>
      <c r="BH64" t="s">
        <v>12</v>
      </c>
      <c r="BI64" t="s">
        <v>97</v>
      </c>
      <c r="BJ64" t="s">
        <v>98</v>
      </c>
      <c r="BK64" t="s">
        <v>99</v>
      </c>
      <c r="BL64" s="33" t="s">
        <v>11</v>
      </c>
      <c r="BM64" s="33" t="s">
        <v>100</v>
      </c>
      <c r="BN64" s="33" t="s">
        <v>100</v>
      </c>
      <c r="BO64" s="33" t="s">
        <v>100</v>
      </c>
      <c r="BP64" s="33" t="s">
        <v>101</v>
      </c>
    </row>
    <row r="65" spans="1:68" x14ac:dyDescent="0.25">
      <c r="A65" t="s">
        <v>91</v>
      </c>
      <c r="B65" t="s">
        <v>92</v>
      </c>
      <c r="C65" s="33" t="s">
        <v>18</v>
      </c>
      <c r="D65">
        <v>35</v>
      </c>
      <c r="E65" s="33" t="s">
        <v>20</v>
      </c>
      <c r="F65">
        <v>3543907</v>
      </c>
      <c r="G65" t="s">
        <v>325</v>
      </c>
      <c r="H65">
        <v>35147597</v>
      </c>
      <c r="I65">
        <v>4</v>
      </c>
      <c r="J65">
        <v>1</v>
      </c>
      <c r="K65">
        <v>0</v>
      </c>
      <c r="L65" t="s">
        <v>326</v>
      </c>
      <c r="M65" t="s">
        <v>327</v>
      </c>
      <c r="N65" t="s">
        <v>192</v>
      </c>
      <c r="O65" t="s">
        <v>328</v>
      </c>
      <c r="P65">
        <v>13504050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86</v>
      </c>
      <c r="AN65">
        <v>0</v>
      </c>
      <c r="AO65">
        <v>0</v>
      </c>
      <c r="AP65">
        <v>0</v>
      </c>
      <c r="AQ65">
        <v>86</v>
      </c>
      <c r="AR65">
        <v>0</v>
      </c>
      <c r="AS65">
        <v>1</v>
      </c>
      <c r="AT65">
        <v>16</v>
      </c>
      <c r="AU65">
        <v>70</v>
      </c>
      <c r="AV65">
        <v>3</v>
      </c>
      <c r="AW65">
        <v>67</v>
      </c>
      <c r="AX65">
        <v>0</v>
      </c>
      <c r="AY65">
        <v>16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10</v>
      </c>
      <c r="BG65">
        <v>76</v>
      </c>
      <c r="BH65" t="s">
        <v>12</v>
      </c>
      <c r="BI65" t="s">
        <v>97</v>
      </c>
      <c r="BJ65" t="s">
        <v>98</v>
      </c>
      <c r="BK65" t="s">
        <v>99</v>
      </c>
      <c r="BL65" s="33" t="s">
        <v>9</v>
      </c>
      <c r="BM65" s="33" t="s">
        <v>100</v>
      </c>
      <c r="BN65" s="33" t="s">
        <v>100</v>
      </c>
      <c r="BO65" s="33" t="s">
        <v>100</v>
      </c>
      <c r="BP65" s="33" t="s">
        <v>101</v>
      </c>
    </row>
    <row r="66" spans="1:68" x14ac:dyDescent="0.25">
      <c r="A66" t="s">
        <v>91</v>
      </c>
      <c r="B66" t="s">
        <v>92</v>
      </c>
      <c r="C66" s="33" t="s">
        <v>18</v>
      </c>
      <c r="D66">
        <v>35</v>
      </c>
      <c r="E66" s="33" t="s">
        <v>20</v>
      </c>
      <c r="F66">
        <v>3543907</v>
      </c>
      <c r="G66" t="s">
        <v>329</v>
      </c>
      <c r="H66">
        <v>35149111</v>
      </c>
      <c r="I66">
        <v>4</v>
      </c>
      <c r="J66">
        <v>1</v>
      </c>
      <c r="K66">
        <v>0</v>
      </c>
      <c r="L66" t="s">
        <v>223</v>
      </c>
      <c r="M66" t="s">
        <v>330</v>
      </c>
      <c r="N66" t="s">
        <v>192</v>
      </c>
      <c r="O66" t="s">
        <v>96</v>
      </c>
      <c r="P66">
        <v>13500411</v>
      </c>
      <c r="Q66">
        <v>1</v>
      </c>
      <c r="R66">
        <v>1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  <c r="AM66">
        <v>421</v>
      </c>
      <c r="AN66">
        <v>0</v>
      </c>
      <c r="AO66">
        <v>0</v>
      </c>
      <c r="AP66">
        <v>0</v>
      </c>
      <c r="AQ66">
        <v>421</v>
      </c>
      <c r="AR66">
        <v>0</v>
      </c>
      <c r="AS66">
        <v>6</v>
      </c>
      <c r="AT66">
        <v>260</v>
      </c>
      <c r="AU66">
        <v>161</v>
      </c>
      <c r="AV66">
        <v>125</v>
      </c>
      <c r="AW66">
        <v>219</v>
      </c>
      <c r="AX66">
        <v>14</v>
      </c>
      <c r="AY66">
        <v>61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21</v>
      </c>
      <c r="BG66">
        <v>400</v>
      </c>
      <c r="BH66" t="s">
        <v>12</v>
      </c>
      <c r="BI66" t="s">
        <v>97</v>
      </c>
      <c r="BJ66" t="s">
        <v>98</v>
      </c>
      <c r="BK66" t="s">
        <v>99</v>
      </c>
      <c r="BL66" s="33" t="s">
        <v>11</v>
      </c>
      <c r="BM66" s="33" t="s">
        <v>100</v>
      </c>
      <c r="BN66" s="33" t="s">
        <v>100</v>
      </c>
      <c r="BO66" s="33" t="s">
        <v>100</v>
      </c>
      <c r="BP66" s="33" t="s">
        <v>101</v>
      </c>
    </row>
    <row r="67" spans="1:68" x14ac:dyDescent="0.25">
      <c r="A67" t="s">
        <v>91</v>
      </c>
      <c r="B67" t="s">
        <v>92</v>
      </c>
      <c r="C67" s="33" t="s">
        <v>18</v>
      </c>
      <c r="D67">
        <v>35</v>
      </c>
      <c r="E67" s="33" t="s">
        <v>20</v>
      </c>
      <c r="F67">
        <v>3543907</v>
      </c>
      <c r="G67" t="s">
        <v>331</v>
      </c>
      <c r="H67">
        <v>35159013</v>
      </c>
      <c r="I67">
        <v>4</v>
      </c>
      <c r="J67">
        <v>1</v>
      </c>
      <c r="K67">
        <v>0</v>
      </c>
      <c r="L67" t="s">
        <v>332</v>
      </c>
      <c r="M67" t="s">
        <v>333</v>
      </c>
      <c r="N67" t="s">
        <v>187</v>
      </c>
      <c r="O67" t="s">
        <v>334</v>
      </c>
      <c r="P67">
        <v>13503111</v>
      </c>
      <c r="Q67">
        <v>1</v>
      </c>
      <c r="R67">
        <v>1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1005</v>
      </c>
      <c r="AN67">
        <v>115</v>
      </c>
      <c r="AO67">
        <v>681</v>
      </c>
      <c r="AP67">
        <v>209</v>
      </c>
      <c r="AQ67">
        <v>0</v>
      </c>
      <c r="AR67">
        <v>0</v>
      </c>
      <c r="AS67">
        <v>13</v>
      </c>
      <c r="AT67">
        <v>504</v>
      </c>
      <c r="AU67">
        <v>501</v>
      </c>
      <c r="AV67">
        <v>47</v>
      </c>
      <c r="AW67">
        <v>905</v>
      </c>
      <c r="AX67">
        <v>5</v>
      </c>
      <c r="AY67">
        <v>44</v>
      </c>
      <c r="AZ67">
        <v>4</v>
      </c>
      <c r="BA67">
        <v>0</v>
      </c>
      <c r="BB67">
        <v>32</v>
      </c>
      <c r="BC67">
        <v>74</v>
      </c>
      <c r="BD67">
        <v>344</v>
      </c>
      <c r="BE67">
        <v>345</v>
      </c>
      <c r="BF67">
        <v>201</v>
      </c>
      <c r="BG67">
        <v>9</v>
      </c>
      <c r="BH67" t="s">
        <v>12</v>
      </c>
      <c r="BI67" t="s">
        <v>97</v>
      </c>
      <c r="BJ67" t="s">
        <v>98</v>
      </c>
      <c r="BK67" t="s">
        <v>99</v>
      </c>
      <c r="BL67" s="33" t="s">
        <v>14</v>
      </c>
      <c r="BM67" s="33" t="s">
        <v>100</v>
      </c>
      <c r="BN67" s="33" t="s">
        <v>100</v>
      </c>
      <c r="BO67" s="33" t="s">
        <v>100</v>
      </c>
      <c r="BP67" s="33" t="s">
        <v>101</v>
      </c>
    </row>
    <row r="68" spans="1:68" x14ac:dyDescent="0.25">
      <c r="A68" t="s">
        <v>91</v>
      </c>
      <c r="B68" t="s">
        <v>92</v>
      </c>
      <c r="C68" s="33" t="s">
        <v>18</v>
      </c>
      <c r="D68">
        <v>35</v>
      </c>
      <c r="E68" s="33" t="s">
        <v>20</v>
      </c>
      <c r="F68">
        <v>3543907</v>
      </c>
      <c r="G68" t="s">
        <v>335</v>
      </c>
      <c r="H68">
        <v>35159025</v>
      </c>
      <c r="I68">
        <v>4</v>
      </c>
      <c r="J68">
        <v>1</v>
      </c>
      <c r="K68">
        <v>0</v>
      </c>
      <c r="L68" t="s">
        <v>336</v>
      </c>
      <c r="M68" t="s">
        <v>337</v>
      </c>
      <c r="O68" t="s">
        <v>154</v>
      </c>
      <c r="P68">
        <v>13501170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252</v>
      </c>
      <c r="AN68">
        <v>32</v>
      </c>
      <c r="AO68">
        <v>207</v>
      </c>
      <c r="AP68">
        <v>13</v>
      </c>
      <c r="AQ68">
        <v>0</v>
      </c>
      <c r="AR68">
        <v>0</v>
      </c>
      <c r="AS68">
        <v>5</v>
      </c>
      <c r="AT68">
        <v>126</v>
      </c>
      <c r="AU68">
        <v>126</v>
      </c>
      <c r="AV68">
        <v>16</v>
      </c>
      <c r="AW68">
        <v>217</v>
      </c>
      <c r="AX68">
        <v>4</v>
      </c>
      <c r="AY68">
        <v>14</v>
      </c>
      <c r="AZ68">
        <v>1</v>
      </c>
      <c r="BA68">
        <v>0</v>
      </c>
      <c r="BB68">
        <v>11</v>
      </c>
      <c r="BC68">
        <v>15</v>
      </c>
      <c r="BD68">
        <v>117</v>
      </c>
      <c r="BE68">
        <v>94</v>
      </c>
      <c r="BF68">
        <v>15</v>
      </c>
      <c r="BG68">
        <v>0</v>
      </c>
      <c r="BH68" t="s">
        <v>12</v>
      </c>
      <c r="BI68" t="s">
        <v>97</v>
      </c>
      <c r="BJ68" t="s">
        <v>98</v>
      </c>
      <c r="BK68" t="s">
        <v>99</v>
      </c>
      <c r="BL68" s="33" t="s">
        <v>11</v>
      </c>
      <c r="BM68" s="33" t="s">
        <v>100</v>
      </c>
      <c r="BN68" s="33" t="s">
        <v>100</v>
      </c>
      <c r="BO68" s="33" t="s">
        <v>100</v>
      </c>
      <c r="BP68" s="33" t="s">
        <v>101</v>
      </c>
    </row>
    <row r="69" spans="1:68" x14ac:dyDescent="0.25">
      <c r="A69" t="s">
        <v>91</v>
      </c>
      <c r="B69" t="s">
        <v>92</v>
      </c>
      <c r="C69" s="33" t="s">
        <v>18</v>
      </c>
      <c r="D69">
        <v>35</v>
      </c>
      <c r="E69" s="33" t="s">
        <v>20</v>
      </c>
      <c r="F69">
        <v>3543907</v>
      </c>
      <c r="G69" t="s">
        <v>338</v>
      </c>
      <c r="H69">
        <v>35159037</v>
      </c>
      <c r="I69">
        <v>4</v>
      </c>
      <c r="J69">
        <v>1</v>
      </c>
      <c r="L69" t="s">
        <v>339</v>
      </c>
      <c r="M69" t="s">
        <v>337</v>
      </c>
      <c r="N69" t="s">
        <v>192</v>
      </c>
      <c r="O69" t="s">
        <v>154</v>
      </c>
      <c r="P69">
        <v>13501170</v>
      </c>
      <c r="Q69">
        <v>2</v>
      </c>
      <c r="BH69" t="s">
        <v>12</v>
      </c>
      <c r="BI69" t="s">
        <v>97</v>
      </c>
      <c r="BK69" t="s">
        <v>194</v>
      </c>
      <c r="BL69" s="33" t="s">
        <v>15</v>
      </c>
      <c r="BM69" s="33" t="s">
        <v>15</v>
      </c>
      <c r="BN69" s="33" t="s">
        <v>15</v>
      </c>
      <c r="BO69" s="33" t="s">
        <v>15</v>
      </c>
      <c r="BP69" s="33" t="s">
        <v>15</v>
      </c>
    </row>
    <row r="70" spans="1:68" x14ac:dyDescent="0.25">
      <c r="A70" t="s">
        <v>91</v>
      </c>
      <c r="B70" t="s">
        <v>92</v>
      </c>
      <c r="C70" s="33" t="s">
        <v>18</v>
      </c>
      <c r="D70">
        <v>35</v>
      </c>
      <c r="E70" s="33" t="s">
        <v>20</v>
      </c>
      <c r="F70">
        <v>3543907</v>
      </c>
      <c r="G70" t="s">
        <v>340</v>
      </c>
      <c r="H70">
        <v>35191437</v>
      </c>
      <c r="I70">
        <v>3</v>
      </c>
      <c r="J70">
        <v>1</v>
      </c>
      <c r="K70">
        <v>0</v>
      </c>
      <c r="L70" t="s">
        <v>341</v>
      </c>
      <c r="M70" t="s">
        <v>342</v>
      </c>
      <c r="N70" t="s">
        <v>343</v>
      </c>
      <c r="O70" t="s">
        <v>344</v>
      </c>
      <c r="P70">
        <v>13505495</v>
      </c>
      <c r="Q70">
        <v>1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479</v>
      </c>
      <c r="AN70">
        <v>0</v>
      </c>
      <c r="AO70">
        <v>463</v>
      </c>
      <c r="AP70">
        <v>0</v>
      </c>
      <c r="AQ70">
        <v>0</v>
      </c>
      <c r="AR70">
        <v>16</v>
      </c>
      <c r="AS70">
        <v>21</v>
      </c>
      <c r="AT70">
        <v>235</v>
      </c>
      <c r="AU70">
        <v>244</v>
      </c>
      <c r="AV70">
        <v>68</v>
      </c>
      <c r="AW70">
        <v>251</v>
      </c>
      <c r="AX70">
        <v>15</v>
      </c>
      <c r="AY70">
        <v>141</v>
      </c>
      <c r="AZ70">
        <v>3</v>
      </c>
      <c r="BA70">
        <v>1</v>
      </c>
      <c r="BB70">
        <v>0</v>
      </c>
      <c r="BC70">
        <v>0</v>
      </c>
      <c r="BD70">
        <v>431</v>
      </c>
      <c r="BE70">
        <v>32</v>
      </c>
      <c r="BF70">
        <v>0</v>
      </c>
      <c r="BG70">
        <v>16</v>
      </c>
      <c r="BH70" t="s">
        <v>10</v>
      </c>
      <c r="BI70" t="s">
        <v>97</v>
      </c>
      <c r="BJ70" t="s">
        <v>98</v>
      </c>
      <c r="BK70" t="s">
        <v>99</v>
      </c>
      <c r="BL70" s="33" t="s">
        <v>11</v>
      </c>
      <c r="BM70" s="33" t="s">
        <v>100</v>
      </c>
      <c r="BN70" s="33" t="s">
        <v>100</v>
      </c>
      <c r="BO70" s="33" t="s">
        <v>100</v>
      </c>
      <c r="BP70" s="33" t="s">
        <v>101</v>
      </c>
    </row>
    <row r="71" spans="1:68" x14ac:dyDescent="0.25">
      <c r="A71" t="s">
        <v>91</v>
      </c>
      <c r="B71" t="s">
        <v>92</v>
      </c>
      <c r="C71" s="33" t="s">
        <v>18</v>
      </c>
      <c r="D71">
        <v>35</v>
      </c>
      <c r="E71" s="33" t="s">
        <v>20</v>
      </c>
      <c r="F71">
        <v>3543907</v>
      </c>
      <c r="G71" t="s">
        <v>345</v>
      </c>
      <c r="H71">
        <v>35196861</v>
      </c>
      <c r="I71">
        <v>4</v>
      </c>
      <c r="J71">
        <v>1</v>
      </c>
      <c r="L71" t="s">
        <v>346</v>
      </c>
      <c r="O71" t="s">
        <v>96</v>
      </c>
      <c r="P71">
        <v>13500505</v>
      </c>
      <c r="Q71">
        <v>2</v>
      </c>
      <c r="BH71" t="s">
        <v>12</v>
      </c>
      <c r="BI71" t="s">
        <v>97</v>
      </c>
      <c r="BK71" t="s">
        <v>194</v>
      </c>
      <c r="BL71" s="33" t="s">
        <v>15</v>
      </c>
      <c r="BM71" s="33" t="s">
        <v>15</v>
      </c>
      <c r="BN71" s="33" t="s">
        <v>15</v>
      </c>
      <c r="BO71" s="33" t="s">
        <v>15</v>
      </c>
      <c r="BP71" s="33" t="s">
        <v>15</v>
      </c>
    </row>
    <row r="72" spans="1:68" x14ac:dyDescent="0.25">
      <c r="A72" t="s">
        <v>91</v>
      </c>
      <c r="B72" t="s">
        <v>92</v>
      </c>
      <c r="C72" s="33" t="s">
        <v>18</v>
      </c>
      <c r="D72">
        <v>35</v>
      </c>
      <c r="E72" s="33" t="s">
        <v>20</v>
      </c>
      <c r="F72">
        <v>3543907</v>
      </c>
      <c r="G72" t="s">
        <v>347</v>
      </c>
      <c r="H72">
        <v>35204973</v>
      </c>
      <c r="I72">
        <v>3</v>
      </c>
      <c r="J72">
        <v>1</v>
      </c>
      <c r="K72">
        <v>0</v>
      </c>
      <c r="L72" t="s">
        <v>348</v>
      </c>
      <c r="M72" t="s">
        <v>349</v>
      </c>
      <c r="N72" t="s">
        <v>187</v>
      </c>
      <c r="O72" t="s">
        <v>350</v>
      </c>
      <c r="P72">
        <v>13504717</v>
      </c>
      <c r="Q72">
        <v>1</v>
      </c>
      <c r="R72">
        <v>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187</v>
      </c>
      <c r="AN72">
        <v>187</v>
      </c>
      <c r="AO72">
        <v>0</v>
      </c>
      <c r="AP72">
        <v>0</v>
      </c>
      <c r="AQ72">
        <v>0</v>
      </c>
      <c r="AR72">
        <v>0</v>
      </c>
      <c r="AS72">
        <v>4</v>
      </c>
      <c r="AT72">
        <v>91</v>
      </c>
      <c r="AU72">
        <v>96</v>
      </c>
      <c r="AV72">
        <v>32</v>
      </c>
      <c r="AW72">
        <v>84</v>
      </c>
      <c r="AX72">
        <v>12</v>
      </c>
      <c r="AY72">
        <v>58</v>
      </c>
      <c r="AZ72">
        <v>0</v>
      </c>
      <c r="BA72">
        <v>1</v>
      </c>
      <c r="BB72">
        <v>52</v>
      </c>
      <c r="BC72">
        <v>123</v>
      </c>
      <c r="BD72">
        <v>12</v>
      </c>
      <c r="BE72">
        <v>0</v>
      </c>
      <c r="BF72">
        <v>0</v>
      </c>
      <c r="BG72">
        <v>0</v>
      </c>
      <c r="BH72" t="s">
        <v>10</v>
      </c>
      <c r="BI72" t="s">
        <v>97</v>
      </c>
      <c r="BJ72" t="s">
        <v>98</v>
      </c>
      <c r="BK72" t="s">
        <v>99</v>
      </c>
      <c r="BL72" s="33" t="s">
        <v>9</v>
      </c>
      <c r="BM72" s="33" t="s">
        <v>100</v>
      </c>
      <c r="BN72" s="33" t="s">
        <v>100</v>
      </c>
      <c r="BO72" s="33" t="s">
        <v>100</v>
      </c>
      <c r="BP72" s="33" t="s">
        <v>101</v>
      </c>
    </row>
    <row r="73" spans="1:68" x14ac:dyDescent="0.25">
      <c r="A73" t="s">
        <v>91</v>
      </c>
      <c r="B73" t="s">
        <v>92</v>
      </c>
      <c r="C73" s="33" t="s">
        <v>18</v>
      </c>
      <c r="D73">
        <v>35</v>
      </c>
      <c r="E73" s="33" t="s">
        <v>20</v>
      </c>
      <c r="F73">
        <v>3543907</v>
      </c>
      <c r="G73" t="s">
        <v>351</v>
      </c>
      <c r="H73">
        <v>35204985</v>
      </c>
      <c r="I73">
        <v>3</v>
      </c>
      <c r="J73">
        <v>1</v>
      </c>
      <c r="K73">
        <v>0</v>
      </c>
      <c r="L73" t="s">
        <v>352</v>
      </c>
      <c r="M73" t="s">
        <v>272</v>
      </c>
      <c r="N73" t="s">
        <v>192</v>
      </c>
      <c r="O73" t="s">
        <v>273</v>
      </c>
      <c r="P73">
        <v>13502290</v>
      </c>
      <c r="Q73">
        <v>1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301</v>
      </c>
      <c r="AN73">
        <v>301</v>
      </c>
      <c r="AO73">
        <v>0</v>
      </c>
      <c r="AP73">
        <v>0</v>
      </c>
      <c r="AQ73">
        <v>0</v>
      </c>
      <c r="AR73">
        <v>0</v>
      </c>
      <c r="AS73">
        <v>10</v>
      </c>
      <c r="AT73">
        <v>151</v>
      </c>
      <c r="AU73">
        <v>150</v>
      </c>
      <c r="AV73">
        <v>12</v>
      </c>
      <c r="AW73">
        <v>175</v>
      </c>
      <c r="AX73">
        <v>18</v>
      </c>
      <c r="AY73">
        <v>96</v>
      </c>
      <c r="AZ73">
        <v>0</v>
      </c>
      <c r="BA73">
        <v>0</v>
      </c>
      <c r="BB73">
        <v>120</v>
      </c>
      <c r="BC73">
        <v>167</v>
      </c>
      <c r="BD73">
        <v>14</v>
      </c>
      <c r="BE73">
        <v>0</v>
      </c>
      <c r="BF73">
        <v>0</v>
      </c>
      <c r="BG73">
        <v>0</v>
      </c>
      <c r="BH73" t="s">
        <v>10</v>
      </c>
      <c r="BI73" t="s">
        <v>97</v>
      </c>
      <c r="BJ73" t="s">
        <v>98</v>
      </c>
      <c r="BK73" t="s">
        <v>99</v>
      </c>
      <c r="BL73" s="33" t="s">
        <v>11</v>
      </c>
      <c r="BM73" s="33" t="s">
        <v>100</v>
      </c>
      <c r="BN73" s="33" t="s">
        <v>100</v>
      </c>
      <c r="BO73" s="33" t="s">
        <v>100</v>
      </c>
      <c r="BP73" s="33" t="s">
        <v>101</v>
      </c>
    </row>
    <row r="74" spans="1:68" x14ac:dyDescent="0.25">
      <c r="A74" t="s">
        <v>91</v>
      </c>
      <c r="B74" t="s">
        <v>92</v>
      </c>
      <c r="C74" s="33" t="s">
        <v>18</v>
      </c>
      <c r="D74">
        <v>35</v>
      </c>
      <c r="E74" s="33" t="s">
        <v>20</v>
      </c>
      <c r="F74">
        <v>3543907</v>
      </c>
      <c r="G74" t="s">
        <v>353</v>
      </c>
      <c r="H74">
        <v>35204997</v>
      </c>
      <c r="I74">
        <v>3</v>
      </c>
      <c r="J74">
        <v>1</v>
      </c>
      <c r="K74">
        <v>0</v>
      </c>
      <c r="L74" t="s">
        <v>354</v>
      </c>
      <c r="M74" t="s">
        <v>355</v>
      </c>
      <c r="N74" t="s">
        <v>192</v>
      </c>
      <c r="O74" t="s">
        <v>356</v>
      </c>
      <c r="P74">
        <v>13505420</v>
      </c>
      <c r="Q74">
        <v>1</v>
      </c>
      <c r="R74">
        <v>1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344</v>
      </c>
      <c r="AN74">
        <v>344</v>
      </c>
      <c r="AO74">
        <v>0</v>
      </c>
      <c r="AP74">
        <v>0</v>
      </c>
      <c r="AQ74">
        <v>0</v>
      </c>
      <c r="AR74">
        <v>0</v>
      </c>
      <c r="AS74">
        <v>18</v>
      </c>
      <c r="AT74">
        <v>173</v>
      </c>
      <c r="AU74">
        <v>171</v>
      </c>
      <c r="AV74">
        <v>24</v>
      </c>
      <c r="AW74">
        <v>166</v>
      </c>
      <c r="AX74">
        <v>15</v>
      </c>
      <c r="AY74">
        <v>139</v>
      </c>
      <c r="AZ74">
        <v>0</v>
      </c>
      <c r="BA74">
        <v>0</v>
      </c>
      <c r="BB74">
        <v>83</v>
      </c>
      <c r="BC74">
        <v>234</v>
      </c>
      <c r="BD74">
        <v>27</v>
      </c>
      <c r="BE74">
        <v>0</v>
      </c>
      <c r="BF74">
        <v>0</v>
      </c>
      <c r="BG74">
        <v>0</v>
      </c>
      <c r="BH74" t="s">
        <v>10</v>
      </c>
      <c r="BI74" t="s">
        <v>97</v>
      </c>
      <c r="BJ74" t="s">
        <v>98</v>
      </c>
      <c r="BK74" t="s">
        <v>99</v>
      </c>
      <c r="BL74" s="33" t="s">
        <v>11</v>
      </c>
      <c r="BM74" s="33" t="s">
        <v>100</v>
      </c>
      <c r="BN74" s="33" t="s">
        <v>100</v>
      </c>
      <c r="BO74" s="33" t="s">
        <v>100</v>
      </c>
      <c r="BP74" s="33" t="s">
        <v>101</v>
      </c>
    </row>
    <row r="75" spans="1:68" x14ac:dyDescent="0.25">
      <c r="A75" t="s">
        <v>91</v>
      </c>
      <c r="B75" t="s">
        <v>92</v>
      </c>
      <c r="C75" s="33" t="s">
        <v>18</v>
      </c>
      <c r="D75">
        <v>35</v>
      </c>
      <c r="E75" s="33" t="s">
        <v>20</v>
      </c>
      <c r="F75">
        <v>3543907</v>
      </c>
      <c r="G75" t="s">
        <v>357</v>
      </c>
      <c r="H75">
        <v>35236330</v>
      </c>
      <c r="I75">
        <v>3</v>
      </c>
      <c r="J75">
        <v>1</v>
      </c>
      <c r="K75">
        <v>0</v>
      </c>
      <c r="L75" t="s">
        <v>358</v>
      </c>
      <c r="M75" t="s">
        <v>359</v>
      </c>
      <c r="N75" t="s">
        <v>187</v>
      </c>
      <c r="O75" t="s">
        <v>360</v>
      </c>
      <c r="P75">
        <v>13504305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92</v>
      </c>
      <c r="AN75">
        <v>92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50</v>
      </c>
      <c r="AU75">
        <v>42</v>
      </c>
      <c r="AV75">
        <v>1</v>
      </c>
      <c r="AW75">
        <v>50</v>
      </c>
      <c r="AX75">
        <v>5</v>
      </c>
      <c r="AY75">
        <v>36</v>
      </c>
      <c r="AZ75">
        <v>0</v>
      </c>
      <c r="BA75">
        <v>0</v>
      </c>
      <c r="BB75">
        <v>92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10</v>
      </c>
      <c r="BI75" t="s">
        <v>97</v>
      </c>
      <c r="BJ75" t="s">
        <v>98</v>
      </c>
      <c r="BK75" t="s">
        <v>99</v>
      </c>
      <c r="BL75" s="33" t="s">
        <v>9</v>
      </c>
      <c r="BM75" s="33" t="s">
        <v>100</v>
      </c>
      <c r="BN75" s="33" t="s">
        <v>100</v>
      </c>
      <c r="BO75" s="33" t="s">
        <v>100</v>
      </c>
      <c r="BP75" s="33" t="s">
        <v>101</v>
      </c>
    </row>
    <row r="76" spans="1:68" x14ac:dyDescent="0.25">
      <c r="A76" t="s">
        <v>91</v>
      </c>
      <c r="B76" t="s">
        <v>92</v>
      </c>
      <c r="C76" s="33" t="s">
        <v>18</v>
      </c>
      <c r="D76">
        <v>35</v>
      </c>
      <c r="E76" s="33" t="s">
        <v>20</v>
      </c>
      <c r="F76">
        <v>3543907</v>
      </c>
      <c r="G76" t="s">
        <v>361</v>
      </c>
      <c r="H76">
        <v>35236342</v>
      </c>
      <c r="I76">
        <v>3</v>
      </c>
      <c r="J76">
        <v>1</v>
      </c>
      <c r="K76">
        <v>0</v>
      </c>
      <c r="L76" t="s">
        <v>354</v>
      </c>
      <c r="M76" t="s">
        <v>362</v>
      </c>
      <c r="N76" t="s">
        <v>192</v>
      </c>
      <c r="O76" t="s">
        <v>356</v>
      </c>
      <c r="P76">
        <v>13505420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204</v>
      </c>
      <c r="AN76">
        <v>204</v>
      </c>
      <c r="AO76">
        <v>0</v>
      </c>
      <c r="AP76">
        <v>0</v>
      </c>
      <c r="AQ76">
        <v>0</v>
      </c>
      <c r="AR76">
        <v>0</v>
      </c>
      <c r="AS76">
        <v>2</v>
      </c>
      <c r="AT76">
        <v>112</v>
      </c>
      <c r="AU76">
        <v>92</v>
      </c>
      <c r="AV76">
        <v>13</v>
      </c>
      <c r="AW76">
        <v>99</v>
      </c>
      <c r="AX76">
        <v>19</v>
      </c>
      <c r="AY76">
        <v>71</v>
      </c>
      <c r="AZ76">
        <v>2</v>
      </c>
      <c r="BA76">
        <v>0</v>
      </c>
      <c r="BB76">
        <v>204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10</v>
      </c>
      <c r="BI76" t="s">
        <v>97</v>
      </c>
      <c r="BJ76" t="s">
        <v>98</v>
      </c>
      <c r="BK76" t="s">
        <v>99</v>
      </c>
      <c r="BL76" s="33" t="s">
        <v>11</v>
      </c>
      <c r="BM76" s="33" t="s">
        <v>100</v>
      </c>
      <c r="BN76" s="33" t="s">
        <v>100</v>
      </c>
      <c r="BO76" s="33" t="s">
        <v>100</v>
      </c>
      <c r="BP76" s="33" t="s">
        <v>101</v>
      </c>
    </row>
    <row r="77" spans="1:68" x14ac:dyDescent="0.25">
      <c r="A77" t="s">
        <v>91</v>
      </c>
      <c r="B77" t="s">
        <v>92</v>
      </c>
      <c r="C77" s="33" t="s">
        <v>18</v>
      </c>
      <c r="D77">
        <v>35</v>
      </c>
      <c r="E77" s="33" t="s">
        <v>20</v>
      </c>
      <c r="F77">
        <v>3543907</v>
      </c>
      <c r="G77" t="s">
        <v>363</v>
      </c>
      <c r="H77">
        <v>35236354</v>
      </c>
      <c r="I77">
        <v>3</v>
      </c>
      <c r="J77">
        <v>1</v>
      </c>
      <c r="K77">
        <v>0</v>
      </c>
      <c r="L77" t="s">
        <v>364</v>
      </c>
      <c r="M77" t="s">
        <v>365</v>
      </c>
      <c r="O77" t="s">
        <v>162</v>
      </c>
      <c r="P77">
        <v>13504130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40</v>
      </c>
      <c r="AN77">
        <v>40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24</v>
      </c>
      <c r="AU77">
        <v>16</v>
      </c>
      <c r="AV77">
        <v>8</v>
      </c>
      <c r="AW77">
        <v>25</v>
      </c>
      <c r="AX77">
        <v>2</v>
      </c>
      <c r="AY77">
        <v>5</v>
      </c>
      <c r="AZ77">
        <v>0</v>
      </c>
      <c r="BA77">
        <v>0</v>
      </c>
      <c r="BB77">
        <v>40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10</v>
      </c>
      <c r="BI77" t="s">
        <v>97</v>
      </c>
      <c r="BJ77" t="s">
        <v>98</v>
      </c>
      <c r="BK77" t="s">
        <v>99</v>
      </c>
      <c r="BL77" s="33" t="s">
        <v>7</v>
      </c>
      <c r="BM77" s="33" t="s">
        <v>100</v>
      </c>
      <c r="BN77" s="33" t="s">
        <v>100</v>
      </c>
      <c r="BO77" s="33" t="s">
        <v>100</v>
      </c>
      <c r="BP77" s="33" t="s">
        <v>101</v>
      </c>
    </row>
    <row r="78" spans="1:68" x14ac:dyDescent="0.25">
      <c r="A78" t="s">
        <v>91</v>
      </c>
      <c r="B78" t="s">
        <v>92</v>
      </c>
      <c r="C78" s="33" t="s">
        <v>18</v>
      </c>
      <c r="D78">
        <v>35</v>
      </c>
      <c r="E78" s="33" t="s">
        <v>20</v>
      </c>
      <c r="F78">
        <v>3543907</v>
      </c>
      <c r="G78" t="s">
        <v>366</v>
      </c>
      <c r="H78">
        <v>35236366</v>
      </c>
      <c r="I78">
        <v>3</v>
      </c>
      <c r="J78">
        <v>1</v>
      </c>
      <c r="K78">
        <v>0</v>
      </c>
      <c r="L78" t="s">
        <v>367</v>
      </c>
      <c r="M78" t="s">
        <v>368</v>
      </c>
      <c r="N78" t="s">
        <v>192</v>
      </c>
      <c r="O78" t="s">
        <v>369</v>
      </c>
      <c r="P78">
        <v>13505320</v>
      </c>
      <c r="Q78">
        <v>1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134</v>
      </c>
      <c r="AN78">
        <v>134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61</v>
      </c>
      <c r="AU78">
        <v>73</v>
      </c>
      <c r="AV78">
        <v>13</v>
      </c>
      <c r="AW78">
        <v>69</v>
      </c>
      <c r="AX78">
        <v>19</v>
      </c>
      <c r="AY78">
        <v>33</v>
      </c>
      <c r="AZ78">
        <v>0</v>
      </c>
      <c r="BA78">
        <v>0</v>
      </c>
      <c r="BB78">
        <v>134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10</v>
      </c>
      <c r="BI78" t="s">
        <v>97</v>
      </c>
      <c r="BJ78" t="s">
        <v>98</v>
      </c>
      <c r="BK78" t="s">
        <v>99</v>
      </c>
      <c r="BL78" s="33" t="s">
        <v>9</v>
      </c>
      <c r="BM78" s="33" t="s">
        <v>100</v>
      </c>
      <c r="BN78" s="33" t="s">
        <v>100</v>
      </c>
      <c r="BO78" s="33" t="s">
        <v>100</v>
      </c>
      <c r="BP78" s="33" t="s">
        <v>101</v>
      </c>
    </row>
    <row r="79" spans="1:68" x14ac:dyDescent="0.25">
      <c r="A79" t="s">
        <v>91</v>
      </c>
      <c r="B79" t="s">
        <v>92</v>
      </c>
      <c r="C79" s="33" t="s">
        <v>18</v>
      </c>
      <c r="D79">
        <v>35</v>
      </c>
      <c r="E79" s="33" t="s">
        <v>20</v>
      </c>
      <c r="F79">
        <v>3543907</v>
      </c>
      <c r="G79" t="s">
        <v>370</v>
      </c>
      <c r="H79">
        <v>35236378</v>
      </c>
      <c r="I79">
        <v>3</v>
      </c>
      <c r="J79">
        <v>1</v>
      </c>
      <c r="K79">
        <v>0</v>
      </c>
      <c r="L79" t="s">
        <v>371</v>
      </c>
      <c r="M79" t="s">
        <v>372</v>
      </c>
      <c r="N79" t="s">
        <v>192</v>
      </c>
      <c r="O79" t="s">
        <v>373</v>
      </c>
      <c r="P79">
        <v>13506160</v>
      </c>
      <c r="Q79">
        <v>1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147</v>
      </c>
      <c r="AN79">
        <v>147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86</v>
      </c>
      <c r="AU79">
        <v>61</v>
      </c>
      <c r="AV79">
        <v>0</v>
      </c>
      <c r="AW79">
        <v>101</v>
      </c>
      <c r="AX79">
        <v>11</v>
      </c>
      <c r="AY79">
        <v>34</v>
      </c>
      <c r="AZ79">
        <v>1</v>
      </c>
      <c r="BA79">
        <v>0</v>
      </c>
      <c r="BB79">
        <v>147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10</v>
      </c>
      <c r="BI79" t="s">
        <v>97</v>
      </c>
      <c r="BJ79" t="s">
        <v>98</v>
      </c>
      <c r="BK79" t="s">
        <v>99</v>
      </c>
      <c r="BL79" s="33" t="s">
        <v>9</v>
      </c>
      <c r="BM79" s="33" t="s">
        <v>100</v>
      </c>
      <c r="BN79" s="33" t="s">
        <v>100</v>
      </c>
      <c r="BO79" s="33" t="s">
        <v>100</v>
      </c>
      <c r="BP79" s="33" t="s">
        <v>101</v>
      </c>
    </row>
    <row r="80" spans="1:68" x14ac:dyDescent="0.25">
      <c r="A80" t="s">
        <v>91</v>
      </c>
      <c r="B80" t="s">
        <v>92</v>
      </c>
      <c r="C80" s="33" t="s">
        <v>18</v>
      </c>
      <c r="D80">
        <v>35</v>
      </c>
      <c r="E80" s="33" t="s">
        <v>20</v>
      </c>
      <c r="F80">
        <v>3543907</v>
      </c>
      <c r="G80" t="s">
        <v>374</v>
      </c>
      <c r="H80">
        <v>35236385</v>
      </c>
      <c r="I80">
        <v>3</v>
      </c>
      <c r="J80">
        <v>1</v>
      </c>
      <c r="K80">
        <v>0</v>
      </c>
      <c r="L80" t="s">
        <v>348</v>
      </c>
      <c r="M80" t="s">
        <v>349</v>
      </c>
      <c r="N80" t="s">
        <v>187</v>
      </c>
      <c r="O80" t="s">
        <v>350</v>
      </c>
      <c r="P80">
        <v>13504717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64</v>
      </c>
      <c r="AN80">
        <v>64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24</v>
      </c>
      <c r="AU80">
        <v>40</v>
      </c>
      <c r="AV80">
        <v>1</v>
      </c>
      <c r="AW80">
        <v>42</v>
      </c>
      <c r="AX80">
        <v>5</v>
      </c>
      <c r="AY80">
        <v>15</v>
      </c>
      <c r="AZ80">
        <v>1</v>
      </c>
      <c r="BA80">
        <v>0</v>
      </c>
      <c r="BB80">
        <v>64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10</v>
      </c>
      <c r="BI80" t="s">
        <v>97</v>
      </c>
      <c r="BJ80" t="s">
        <v>98</v>
      </c>
      <c r="BK80" t="s">
        <v>99</v>
      </c>
      <c r="BL80" s="33" t="s">
        <v>9</v>
      </c>
      <c r="BM80" s="33" t="s">
        <v>100</v>
      </c>
      <c r="BN80" s="33" t="s">
        <v>100</v>
      </c>
      <c r="BO80" s="33" t="s">
        <v>100</v>
      </c>
      <c r="BP80" s="33" t="s">
        <v>101</v>
      </c>
    </row>
    <row r="81" spans="1:68" x14ac:dyDescent="0.25">
      <c r="A81" t="s">
        <v>91</v>
      </c>
      <c r="B81" t="s">
        <v>92</v>
      </c>
      <c r="C81" s="33" t="s">
        <v>18</v>
      </c>
      <c r="D81">
        <v>35</v>
      </c>
      <c r="E81" s="33" t="s">
        <v>20</v>
      </c>
      <c r="F81">
        <v>3543907</v>
      </c>
      <c r="G81" t="s">
        <v>375</v>
      </c>
      <c r="H81">
        <v>35236391</v>
      </c>
      <c r="I81">
        <v>3</v>
      </c>
      <c r="J81">
        <v>1</v>
      </c>
      <c r="K81">
        <v>0</v>
      </c>
      <c r="L81" t="s">
        <v>376</v>
      </c>
      <c r="M81" t="s">
        <v>377</v>
      </c>
      <c r="N81" t="s">
        <v>187</v>
      </c>
      <c r="O81" t="s">
        <v>378</v>
      </c>
      <c r="P81">
        <v>13502130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139</v>
      </c>
      <c r="AN81">
        <v>139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89</v>
      </c>
      <c r="AU81">
        <v>50</v>
      </c>
      <c r="AV81">
        <v>2</v>
      </c>
      <c r="AW81">
        <v>86</v>
      </c>
      <c r="AX81">
        <v>7</v>
      </c>
      <c r="AY81">
        <v>44</v>
      </c>
      <c r="AZ81">
        <v>0</v>
      </c>
      <c r="BA81">
        <v>0</v>
      </c>
      <c r="BB81">
        <v>139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10</v>
      </c>
      <c r="BI81" t="s">
        <v>97</v>
      </c>
      <c r="BJ81" t="s">
        <v>98</v>
      </c>
      <c r="BK81" t="s">
        <v>99</v>
      </c>
      <c r="BL81" s="33" t="s">
        <v>9</v>
      </c>
      <c r="BM81" s="33" t="s">
        <v>100</v>
      </c>
      <c r="BN81" s="33" t="s">
        <v>100</v>
      </c>
      <c r="BO81" s="33" t="s">
        <v>100</v>
      </c>
      <c r="BP81" s="33" t="s">
        <v>101</v>
      </c>
    </row>
    <row r="82" spans="1:68" x14ac:dyDescent="0.25">
      <c r="A82" t="s">
        <v>91</v>
      </c>
      <c r="B82" t="s">
        <v>92</v>
      </c>
      <c r="C82" s="33" t="s">
        <v>18</v>
      </c>
      <c r="D82">
        <v>35</v>
      </c>
      <c r="E82" s="33" t="s">
        <v>20</v>
      </c>
      <c r="F82">
        <v>3543907</v>
      </c>
      <c r="G82" t="s">
        <v>379</v>
      </c>
      <c r="H82">
        <v>35236408</v>
      </c>
      <c r="I82">
        <v>3</v>
      </c>
      <c r="J82">
        <v>1</v>
      </c>
      <c r="K82">
        <v>0</v>
      </c>
      <c r="L82" t="s">
        <v>380</v>
      </c>
      <c r="M82" t="s">
        <v>381</v>
      </c>
      <c r="O82" t="s">
        <v>158</v>
      </c>
      <c r="P82">
        <v>13506621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44</v>
      </c>
      <c r="AN82">
        <v>44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20</v>
      </c>
      <c r="AU82">
        <v>24</v>
      </c>
      <c r="AV82">
        <v>0</v>
      </c>
      <c r="AW82">
        <v>28</v>
      </c>
      <c r="AX82">
        <v>4</v>
      </c>
      <c r="AY82">
        <v>11</v>
      </c>
      <c r="AZ82">
        <v>1</v>
      </c>
      <c r="BA82">
        <v>0</v>
      </c>
      <c r="BB82">
        <v>44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10</v>
      </c>
      <c r="BI82" t="s">
        <v>97</v>
      </c>
      <c r="BJ82" t="s">
        <v>98</v>
      </c>
      <c r="BK82" t="s">
        <v>99</v>
      </c>
      <c r="BL82" s="33" t="s">
        <v>7</v>
      </c>
      <c r="BM82" s="33" t="s">
        <v>100</v>
      </c>
      <c r="BN82" s="33" t="s">
        <v>100</v>
      </c>
      <c r="BO82" s="33" t="s">
        <v>100</v>
      </c>
      <c r="BP82" s="33" t="s">
        <v>101</v>
      </c>
    </row>
    <row r="83" spans="1:68" x14ac:dyDescent="0.25">
      <c r="A83" t="s">
        <v>91</v>
      </c>
      <c r="B83" t="s">
        <v>92</v>
      </c>
      <c r="C83" s="33" t="s">
        <v>18</v>
      </c>
      <c r="D83">
        <v>35</v>
      </c>
      <c r="E83" s="33" t="s">
        <v>20</v>
      </c>
      <c r="F83">
        <v>3543907</v>
      </c>
      <c r="G83" t="s">
        <v>382</v>
      </c>
      <c r="H83">
        <v>35236412</v>
      </c>
      <c r="I83">
        <v>3</v>
      </c>
      <c r="J83">
        <v>1</v>
      </c>
      <c r="K83">
        <v>0</v>
      </c>
      <c r="L83" t="s">
        <v>279</v>
      </c>
      <c r="M83" t="s">
        <v>383</v>
      </c>
      <c r="O83" t="s">
        <v>96</v>
      </c>
      <c r="P83">
        <v>13500240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113</v>
      </c>
      <c r="AN83">
        <v>113</v>
      </c>
      <c r="AO83">
        <v>0</v>
      </c>
      <c r="AP83">
        <v>0</v>
      </c>
      <c r="AQ83">
        <v>0</v>
      </c>
      <c r="AR83">
        <v>0</v>
      </c>
      <c r="AS83">
        <v>3</v>
      </c>
      <c r="AT83">
        <v>52</v>
      </c>
      <c r="AU83">
        <v>61</v>
      </c>
      <c r="AV83">
        <v>3</v>
      </c>
      <c r="AW83">
        <v>79</v>
      </c>
      <c r="AX83">
        <v>4</v>
      </c>
      <c r="AY83">
        <v>27</v>
      </c>
      <c r="AZ83">
        <v>0</v>
      </c>
      <c r="BA83">
        <v>0</v>
      </c>
      <c r="BB83">
        <v>106</v>
      </c>
      <c r="BC83">
        <v>7</v>
      </c>
      <c r="BD83">
        <v>0</v>
      </c>
      <c r="BE83">
        <v>0</v>
      </c>
      <c r="BF83">
        <v>0</v>
      </c>
      <c r="BG83">
        <v>0</v>
      </c>
      <c r="BH83" t="s">
        <v>10</v>
      </c>
      <c r="BI83" t="s">
        <v>97</v>
      </c>
      <c r="BJ83" t="s">
        <v>98</v>
      </c>
      <c r="BK83" t="s">
        <v>99</v>
      </c>
      <c r="BL83" s="33" t="s">
        <v>9</v>
      </c>
      <c r="BM83" s="33" t="s">
        <v>100</v>
      </c>
      <c r="BN83" s="33" t="s">
        <v>100</v>
      </c>
      <c r="BO83" s="33" t="s">
        <v>100</v>
      </c>
      <c r="BP83" s="33" t="s">
        <v>101</v>
      </c>
    </row>
    <row r="84" spans="1:68" x14ac:dyDescent="0.25">
      <c r="A84" t="s">
        <v>91</v>
      </c>
      <c r="B84" t="s">
        <v>92</v>
      </c>
      <c r="C84" s="33" t="s">
        <v>18</v>
      </c>
      <c r="D84">
        <v>35</v>
      </c>
      <c r="E84" s="33" t="s">
        <v>20</v>
      </c>
      <c r="F84">
        <v>3543907</v>
      </c>
      <c r="G84" t="s">
        <v>384</v>
      </c>
      <c r="H84">
        <v>35236421</v>
      </c>
      <c r="I84">
        <v>3</v>
      </c>
      <c r="J84">
        <v>1</v>
      </c>
      <c r="K84">
        <v>0</v>
      </c>
      <c r="L84" t="s">
        <v>302</v>
      </c>
      <c r="M84" t="s">
        <v>385</v>
      </c>
      <c r="O84" t="s">
        <v>386</v>
      </c>
      <c r="P84">
        <v>13500200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101</v>
      </c>
      <c r="AN84">
        <v>101</v>
      </c>
      <c r="AO84">
        <v>0</v>
      </c>
      <c r="AP84">
        <v>0</v>
      </c>
      <c r="AQ84">
        <v>0</v>
      </c>
      <c r="AR84">
        <v>0</v>
      </c>
      <c r="AS84">
        <v>3</v>
      </c>
      <c r="AT84">
        <v>45</v>
      </c>
      <c r="AU84">
        <v>56</v>
      </c>
      <c r="AV84">
        <v>5</v>
      </c>
      <c r="AW84">
        <v>76</v>
      </c>
      <c r="AX84">
        <v>4</v>
      </c>
      <c r="AY84">
        <v>16</v>
      </c>
      <c r="AZ84">
        <v>0</v>
      </c>
      <c r="BA84">
        <v>0</v>
      </c>
      <c r="BB84">
        <v>99</v>
      </c>
      <c r="BC84">
        <v>2</v>
      </c>
      <c r="BD84">
        <v>0</v>
      </c>
      <c r="BE84">
        <v>0</v>
      </c>
      <c r="BF84">
        <v>0</v>
      </c>
      <c r="BG84">
        <v>0</v>
      </c>
      <c r="BH84" t="s">
        <v>10</v>
      </c>
      <c r="BI84" t="s">
        <v>97</v>
      </c>
      <c r="BJ84" t="s">
        <v>98</v>
      </c>
      <c r="BK84" t="s">
        <v>99</v>
      </c>
      <c r="BL84" s="33" t="s">
        <v>9</v>
      </c>
      <c r="BM84" s="33" t="s">
        <v>100</v>
      </c>
      <c r="BN84" s="33" t="s">
        <v>100</v>
      </c>
      <c r="BO84" s="33" t="s">
        <v>100</v>
      </c>
      <c r="BP84" s="33" t="s">
        <v>101</v>
      </c>
    </row>
    <row r="85" spans="1:68" x14ac:dyDescent="0.25">
      <c r="A85" t="s">
        <v>91</v>
      </c>
      <c r="B85" t="s">
        <v>92</v>
      </c>
      <c r="C85" s="33" t="s">
        <v>18</v>
      </c>
      <c r="D85">
        <v>35</v>
      </c>
      <c r="E85" s="33" t="s">
        <v>20</v>
      </c>
      <c r="F85">
        <v>3543907</v>
      </c>
      <c r="G85" t="s">
        <v>387</v>
      </c>
      <c r="H85">
        <v>35246037</v>
      </c>
      <c r="I85">
        <v>3</v>
      </c>
      <c r="J85">
        <v>1</v>
      </c>
      <c r="K85">
        <v>0</v>
      </c>
      <c r="L85" t="s">
        <v>388</v>
      </c>
      <c r="M85" t="s">
        <v>389</v>
      </c>
      <c r="N85" t="s">
        <v>192</v>
      </c>
      <c r="O85" t="s">
        <v>390</v>
      </c>
      <c r="P85">
        <v>13503710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511</v>
      </c>
      <c r="AN85">
        <v>257</v>
      </c>
      <c r="AO85">
        <v>254</v>
      </c>
      <c r="AP85">
        <v>0</v>
      </c>
      <c r="AQ85">
        <v>0</v>
      </c>
      <c r="AR85">
        <v>0</v>
      </c>
      <c r="AS85">
        <v>9</v>
      </c>
      <c r="AT85">
        <v>271</v>
      </c>
      <c r="AU85">
        <v>240</v>
      </c>
      <c r="AV85">
        <v>30</v>
      </c>
      <c r="AW85">
        <v>278</v>
      </c>
      <c r="AX85">
        <v>22</v>
      </c>
      <c r="AY85">
        <v>181</v>
      </c>
      <c r="AZ85">
        <v>0</v>
      </c>
      <c r="BA85">
        <v>0</v>
      </c>
      <c r="BB85">
        <v>54</v>
      </c>
      <c r="BC85">
        <v>191</v>
      </c>
      <c r="BD85">
        <v>255</v>
      </c>
      <c r="BE85">
        <v>11</v>
      </c>
      <c r="BF85">
        <v>0</v>
      </c>
      <c r="BG85">
        <v>0</v>
      </c>
      <c r="BH85" t="s">
        <v>10</v>
      </c>
      <c r="BI85" t="s">
        <v>97</v>
      </c>
      <c r="BJ85" t="s">
        <v>98</v>
      </c>
      <c r="BK85" t="s">
        <v>99</v>
      </c>
      <c r="BL85" s="33" t="s">
        <v>13</v>
      </c>
      <c r="BM85" s="33" t="s">
        <v>100</v>
      </c>
      <c r="BN85" s="33" t="s">
        <v>100</v>
      </c>
      <c r="BO85" s="33" t="s">
        <v>100</v>
      </c>
      <c r="BP85" s="33" t="s">
        <v>101</v>
      </c>
    </row>
    <row r="86" spans="1:68" x14ac:dyDescent="0.25">
      <c r="A86" t="s">
        <v>91</v>
      </c>
      <c r="B86" t="s">
        <v>92</v>
      </c>
      <c r="C86" s="33" t="s">
        <v>18</v>
      </c>
      <c r="D86">
        <v>35</v>
      </c>
      <c r="E86" s="33" t="s">
        <v>20</v>
      </c>
      <c r="F86">
        <v>3543907</v>
      </c>
      <c r="G86" t="s">
        <v>391</v>
      </c>
      <c r="H86">
        <v>35246049</v>
      </c>
      <c r="I86">
        <v>3</v>
      </c>
      <c r="J86">
        <v>1</v>
      </c>
      <c r="K86">
        <v>0</v>
      </c>
      <c r="L86" t="s">
        <v>372</v>
      </c>
      <c r="M86" t="s">
        <v>392</v>
      </c>
      <c r="N86" t="s">
        <v>393</v>
      </c>
      <c r="O86" t="s">
        <v>360</v>
      </c>
      <c r="P86">
        <v>13504420</v>
      </c>
      <c r="Q86">
        <v>1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507</v>
      </c>
      <c r="AN86">
        <v>0</v>
      </c>
      <c r="AO86">
        <v>424</v>
      </c>
      <c r="AP86">
        <v>0</v>
      </c>
      <c r="AQ86">
        <v>0</v>
      </c>
      <c r="AR86">
        <v>83</v>
      </c>
      <c r="AS86">
        <v>23</v>
      </c>
      <c r="AT86">
        <v>244</v>
      </c>
      <c r="AU86">
        <v>263</v>
      </c>
      <c r="AV86">
        <v>151</v>
      </c>
      <c r="AW86">
        <v>206</v>
      </c>
      <c r="AX86">
        <v>10</v>
      </c>
      <c r="AY86">
        <v>139</v>
      </c>
      <c r="AZ86">
        <v>1</v>
      </c>
      <c r="BA86">
        <v>0</v>
      </c>
      <c r="BB86">
        <v>0</v>
      </c>
      <c r="BC86">
        <v>0</v>
      </c>
      <c r="BD86">
        <v>402</v>
      </c>
      <c r="BE86">
        <v>21</v>
      </c>
      <c r="BF86">
        <v>19</v>
      </c>
      <c r="BG86">
        <v>65</v>
      </c>
      <c r="BH86" t="s">
        <v>10</v>
      </c>
      <c r="BI86" t="s">
        <v>97</v>
      </c>
      <c r="BJ86" t="s">
        <v>98</v>
      </c>
      <c r="BK86" t="s">
        <v>99</v>
      </c>
      <c r="BL86" s="33" t="s">
        <v>13</v>
      </c>
      <c r="BM86" s="33" t="s">
        <v>100</v>
      </c>
      <c r="BN86" s="33" t="s">
        <v>100</v>
      </c>
      <c r="BO86" s="33" t="s">
        <v>100</v>
      </c>
      <c r="BP86" s="33" t="s">
        <v>101</v>
      </c>
    </row>
    <row r="87" spans="1:68" x14ac:dyDescent="0.25">
      <c r="A87" t="s">
        <v>91</v>
      </c>
      <c r="B87" t="s">
        <v>92</v>
      </c>
      <c r="C87" s="33" t="s">
        <v>18</v>
      </c>
      <c r="D87">
        <v>35</v>
      </c>
      <c r="E87" s="33" t="s">
        <v>20</v>
      </c>
      <c r="F87">
        <v>3543907</v>
      </c>
      <c r="G87" t="s">
        <v>394</v>
      </c>
      <c r="H87">
        <v>35253753</v>
      </c>
      <c r="I87">
        <v>4</v>
      </c>
      <c r="J87">
        <v>1</v>
      </c>
      <c r="L87" t="s">
        <v>395</v>
      </c>
      <c r="M87" t="s">
        <v>396</v>
      </c>
      <c r="N87" t="s">
        <v>187</v>
      </c>
      <c r="O87" t="s">
        <v>397</v>
      </c>
      <c r="P87">
        <v>13500200</v>
      </c>
      <c r="Q87">
        <v>2</v>
      </c>
      <c r="BH87" t="s">
        <v>12</v>
      </c>
      <c r="BI87" t="s">
        <v>97</v>
      </c>
      <c r="BK87" t="s">
        <v>194</v>
      </c>
      <c r="BL87" s="33" t="s">
        <v>15</v>
      </c>
      <c r="BM87" s="33" t="s">
        <v>15</v>
      </c>
      <c r="BN87" s="33" t="s">
        <v>15</v>
      </c>
      <c r="BO87" s="33" t="s">
        <v>15</v>
      </c>
      <c r="BP87" s="33" t="s">
        <v>15</v>
      </c>
    </row>
    <row r="88" spans="1:68" x14ac:dyDescent="0.25">
      <c r="A88" t="s">
        <v>91</v>
      </c>
      <c r="B88" t="s">
        <v>92</v>
      </c>
      <c r="C88" s="33" t="s">
        <v>18</v>
      </c>
      <c r="D88">
        <v>35</v>
      </c>
      <c r="E88" s="33" t="s">
        <v>20</v>
      </c>
      <c r="F88">
        <v>3543907</v>
      </c>
      <c r="G88" t="s">
        <v>398</v>
      </c>
      <c r="H88">
        <v>35260605</v>
      </c>
      <c r="I88">
        <v>4</v>
      </c>
      <c r="J88">
        <v>1</v>
      </c>
      <c r="K88">
        <v>0</v>
      </c>
      <c r="L88" t="s">
        <v>131</v>
      </c>
      <c r="M88" t="s">
        <v>399</v>
      </c>
      <c r="N88" t="s">
        <v>192</v>
      </c>
      <c r="O88" t="s">
        <v>96</v>
      </c>
      <c r="P88">
        <v>13500440</v>
      </c>
      <c r="Q88">
        <v>1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141</v>
      </c>
      <c r="AN88">
        <v>0</v>
      </c>
      <c r="AO88">
        <v>0</v>
      </c>
      <c r="AP88">
        <v>0</v>
      </c>
      <c r="AQ88">
        <v>141</v>
      </c>
      <c r="AR88">
        <v>0</v>
      </c>
      <c r="AS88">
        <v>0</v>
      </c>
      <c r="AT88">
        <v>126</v>
      </c>
      <c r="AU88">
        <v>15</v>
      </c>
      <c r="AV88">
        <v>47</v>
      </c>
      <c r="AW88">
        <v>71</v>
      </c>
      <c r="AX88">
        <v>3</v>
      </c>
      <c r="AY88">
        <v>19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141</v>
      </c>
      <c r="BH88" t="s">
        <v>12</v>
      </c>
      <c r="BI88" t="s">
        <v>97</v>
      </c>
      <c r="BJ88" t="s">
        <v>98</v>
      </c>
      <c r="BK88" t="s">
        <v>99</v>
      </c>
      <c r="BL88" s="33" t="s">
        <v>9</v>
      </c>
      <c r="BM88" s="33" t="s">
        <v>100</v>
      </c>
      <c r="BN88" s="33" t="s">
        <v>100</v>
      </c>
      <c r="BO88" s="33" t="s">
        <v>100</v>
      </c>
      <c r="BP88" s="33" t="s">
        <v>101</v>
      </c>
    </row>
    <row r="89" spans="1:68" x14ac:dyDescent="0.25">
      <c r="A89" t="s">
        <v>91</v>
      </c>
      <c r="B89" t="s">
        <v>92</v>
      </c>
      <c r="C89" s="33" t="s">
        <v>18</v>
      </c>
      <c r="D89">
        <v>35</v>
      </c>
      <c r="E89" s="33" t="s">
        <v>20</v>
      </c>
      <c r="F89">
        <v>3543907</v>
      </c>
      <c r="G89" t="s">
        <v>400</v>
      </c>
      <c r="H89">
        <v>35263072</v>
      </c>
      <c r="I89">
        <v>4</v>
      </c>
      <c r="J89">
        <v>1</v>
      </c>
      <c r="K89">
        <v>0</v>
      </c>
      <c r="L89" t="s">
        <v>401</v>
      </c>
      <c r="M89" t="s">
        <v>402</v>
      </c>
      <c r="N89" t="s">
        <v>187</v>
      </c>
      <c r="O89" t="s">
        <v>403</v>
      </c>
      <c r="P89">
        <v>13500511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912</v>
      </c>
      <c r="AN89">
        <v>68</v>
      </c>
      <c r="AO89">
        <v>611</v>
      </c>
      <c r="AP89">
        <v>233</v>
      </c>
      <c r="AQ89">
        <v>144</v>
      </c>
      <c r="AR89">
        <v>0</v>
      </c>
      <c r="AS89">
        <v>17</v>
      </c>
      <c r="AT89">
        <v>444</v>
      </c>
      <c r="AU89">
        <v>468</v>
      </c>
      <c r="AV89">
        <v>91</v>
      </c>
      <c r="AW89">
        <v>761</v>
      </c>
      <c r="AX89">
        <v>10</v>
      </c>
      <c r="AY89">
        <v>48</v>
      </c>
      <c r="AZ89">
        <v>1</v>
      </c>
      <c r="BA89">
        <v>1</v>
      </c>
      <c r="BB89">
        <v>20</v>
      </c>
      <c r="BC89">
        <v>42</v>
      </c>
      <c r="BD89">
        <v>258</v>
      </c>
      <c r="BE89">
        <v>340</v>
      </c>
      <c r="BF89">
        <v>237</v>
      </c>
      <c r="BG89">
        <v>15</v>
      </c>
      <c r="BH89" t="s">
        <v>12</v>
      </c>
      <c r="BI89" t="s">
        <v>97</v>
      </c>
      <c r="BJ89" t="s">
        <v>98</v>
      </c>
      <c r="BK89" t="s">
        <v>99</v>
      </c>
      <c r="BL89" s="33" t="s">
        <v>13</v>
      </c>
      <c r="BM89" s="33" t="s">
        <v>100</v>
      </c>
      <c r="BN89" s="33" t="s">
        <v>100</v>
      </c>
      <c r="BO89" s="33" t="s">
        <v>100</v>
      </c>
      <c r="BP89" s="33" t="s">
        <v>101</v>
      </c>
    </row>
    <row r="90" spans="1:68" x14ac:dyDescent="0.25">
      <c r="A90" t="s">
        <v>91</v>
      </c>
      <c r="B90" t="s">
        <v>92</v>
      </c>
      <c r="C90" s="33" t="s">
        <v>18</v>
      </c>
      <c r="D90">
        <v>35</v>
      </c>
      <c r="E90" s="33" t="s">
        <v>20</v>
      </c>
      <c r="F90">
        <v>3543907</v>
      </c>
      <c r="G90" t="s">
        <v>404</v>
      </c>
      <c r="H90">
        <v>35263084</v>
      </c>
      <c r="I90">
        <v>4</v>
      </c>
      <c r="J90">
        <v>1</v>
      </c>
      <c r="L90" t="s">
        <v>405</v>
      </c>
      <c r="O90" t="s">
        <v>96</v>
      </c>
      <c r="P90">
        <v>13500141</v>
      </c>
      <c r="Q90">
        <v>2</v>
      </c>
      <c r="BH90" t="s">
        <v>12</v>
      </c>
      <c r="BI90" t="s">
        <v>97</v>
      </c>
      <c r="BK90" t="s">
        <v>194</v>
      </c>
      <c r="BL90" s="33" t="s">
        <v>15</v>
      </c>
      <c r="BM90" s="33" t="s">
        <v>15</v>
      </c>
      <c r="BN90" s="33" t="s">
        <v>15</v>
      </c>
      <c r="BO90" s="33" t="s">
        <v>15</v>
      </c>
      <c r="BP90" s="33" t="s">
        <v>15</v>
      </c>
    </row>
    <row r="91" spans="1:68" x14ac:dyDescent="0.25">
      <c r="A91" t="s">
        <v>91</v>
      </c>
      <c r="B91" t="s">
        <v>92</v>
      </c>
      <c r="C91" s="33" t="s">
        <v>18</v>
      </c>
      <c r="D91">
        <v>35</v>
      </c>
      <c r="E91" s="33" t="s">
        <v>20</v>
      </c>
      <c r="F91">
        <v>3543907</v>
      </c>
      <c r="G91" t="s">
        <v>406</v>
      </c>
      <c r="H91">
        <v>35267284</v>
      </c>
      <c r="I91">
        <v>3</v>
      </c>
      <c r="J91">
        <v>1</v>
      </c>
      <c r="K91">
        <v>0</v>
      </c>
      <c r="L91" t="s">
        <v>407</v>
      </c>
      <c r="M91" t="s">
        <v>408</v>
      </c>
      <c r="N91" t="s">
        <v>187</v>
      </c>
      <c r="O91" t="s">
        <v>260</v>
      </c>
      <c r="P91">
        <v>13505373</v>
      </c>
      <c r="Q91">
        <v>1</v>
      </c>
      <c r="R91">
        <v>1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616</v>
      </c>
      <c r="AN91">
        <v>0</v>
      </c>
      <c r="AO91">
        <v>616</v>
      </c>
      <c r="AP91">
        <v>0</v>
      </c>
      <c r="AQ91">
        <v>0</v>
      </c>
      <c r="AR91">
        <v>0</v>
      </c>
      <c r="AS91">
        <v>26</v>
      </c>
      <c r="AT91">
        <v>313</v>
      </c>
      <c r="AU91">
        <v>303</v>
      </c>
      <c r="AV91">
        <v>91</v>
      </c>
      <c r="AW91">
        <v>335</v>
      </c>
      <c r="AX91">
        <v>24</v>
      </c>
      <c r="AY91">
        <v>166</v>
      </c>
      <c r="AZ91">
        <v>0</v>
      </c>
      <c r="BA91">
        <v>0</v>
      </c>
      <c r="BB91">
        <v>0</v>
      </c>
      <c r="BC91">
        <v>0</v>
      </c>
      <c r="BD91">
        <v>579</v>
      </c>
      <c r="BE91">
        <v>37</v>
      </c>
      <c r="BF91">
        <v>0</v>
      </c>
      <c r="BG91">
        <v>0</v>
      </c>
      <c r="BH91" t="s">
        <v>10</v>
      </c>
      <c r="BI91" t="s">
        <v>97</v>
      </c>
      <c r="BJ91" t="s">
        <v>98</v>
      </c>
      <c r="BK91" t="s">
        <v>99</v>
      </c>
      <c r="BL91" s="33" t="s">
        <v>13</v>
      </c>
      <c r="BM91" s="33" t="s">
        <v>100</v>
      </c>
      <c r="BN91" s="33" t="s">
        <v>100</v>
      </c>
      <c r="BO91" s="33" t="s">
        <v>100</v>
      </c>
      <c r="BP91" s="33" t="s">
        <v>101</v>
      </c>
    </row>
    <row r="92" spans="1:68" x14ac:dyDescent="0.25">
      <c r="A92" t="s">
        <v>91</v>
      </c>
      <c r="B92" t="s">
        <v>92</v>
      </c>
      <c r="C92" s="33" t="s">
        <v>18</v>
      </c>
      <c r="D92">
        <v>35</v>
      </c>
      <c r="E92" s="33" t="s">
        <v>20</v>
      </c>
      <c r="F92">
        <v>3543907</v>
      </c>
      <c r="G92" t="s">
        <v>409</v>
      </c>
      <c r="H92">
        <v>35267296</v>
      </c>
      <c r="I92">
        <v>3</v>
      </c>
      <c r="J92">
        <v>1</v>
      </c>
      <c r="K92">
        <v>0</v>
      </c>
      <c r="L92" t="s">
        <v>410</v>
      </c>
      <c r="M92" t="s">
        <v>411</v>
      </c>
      <c r="N92" t="s">
        <v>192</v>
      </c>
      <c r="O92" t="s">
        <v>217</v>
      </c>
      <c r="P92">
        <v>13500300</v>
      </c>
      <c r="Q92">
        <v>1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194</v>
      </c>
      <c r="AN92">
        <v>0</v>
      </c>
      <c r="AO92">
        <v>194</v>
      </c>
      <c r="AP92">
        <v>0</v>
      </c>
      <c r="AQ92">
        <v>0</v>
      </c>
      <c r="AR92">
        <v>0</v>
      </c>
      <c r="AS92">
        <v>13</v>
      </c>
      <c r="AT92">
        <v>83</v>
      </c>
      <c r="AU92">
        <v>111</v>
      </c>
      <c r="AV92">
        <v>12</v>
      </c>
      <c r="AW92">
        <v>139</v>
      </c>
      <c r="AX92">
        <v>2</v>
      </c>
      <c r="AY92">
        <v>41</v>
      </c>
      <c r="AZ92">
        <v>0</v>
      </c>
      <c r="BA92">
        <v>0</v>
      </c>
      <c r="BB92">
        <v>0</v>
      </c>
      <c r="BC92">
        <v>0</v>
      </c>
      <c r="BD92">
        <v>188</v>
      </c>
      <c r="BE92">
        <v>6</v>
      </c>
      <c r="BF92">
        <v>0</v>
      </c>
      <c r="BG92">
        <v>0</v>
      </c>
      <c r="BH92" t="s">
        <v>10</v>
      </c>
      <c r="BI92" t="s">
        <v>97</v>
      </c>
      <c r="BJ92" t="s">
        <v>98</v>
      </c>
      <c r="BK92" t="s">
        <v>99</v>
      </c>
      <c r="BL92" s="33" t="s">
        <v>9</v>
      </c>
      <c r="BM92" s="33" t="s">
        <v>100</v>
      </c>
      <c r="BN92" s="33" t="s">
        <v>100</v>
      </c>
      <c r="BO92" s="33" t="s">
        <v>100</v>
      </c>
      <c r="BP92" s="33" t="s">
        <v>101</v>
      </c>
    </row>
    <row r="93" spans="1:68" x14ac:dyDescent="0.25">
      <c r="A93" t="s">
        <v>91</v>
      </c>
      <c r="B93" t="s">
        <v>92</v>
      </c>
      <c r="C93" s="33" t="s">
        <v>18</v>
      </c>
      <c r="D93">
        <v>35</v>
      </c>
      <c r="E93" s="33" t="s">
        <v>20</v>
      </c>
      <c r="F93">
        <v>3543907</v>
      </c>
      <c r="G93" t="s">
        <v>412</v>
      </c>
      <c r="H93">
        <v>35267302</v>
      </c>
      <c r="I93">
        <v>3</v>
      </c>
      <c r="J93">
        <v>1</v>
      </c>
      <c r="K93">
        <v>0</v>
      </c>
      <c r="L93" t="s">
        <v>413</v>
      </c>
      <c r="M93" t="s">
        <v>200</v>
      </c>
      <c r="O93" t="s">
        <v>158</v>
      </c>
      <c r="P93">
        <v>13506567</v>
      </c>
      <c r="Q93">
        <v>1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410</v>
      </c>
      <c r="AN93">
        <v>0</v>
      </c>
      <c r="AO93">
        <v>410</v>
      </c>
      <c r="AP93">
        <v>0</v>
      </c>
      <c r="AQ93">
        <v>0</v>
      </c>
      <c r="AR93">
        <v>0</v>
      </c>
      <c r="AS93">
        <v>12</v>
      </c>
      <c r="AT93">
        <v>205</v>
      </c>
      <c r="AU93">
        <v>205</v>
      </c>
      <c r="AV93">
        <v>22</v>
      </c>
      <c r="AW93">
        <v>326</v>
      </c>
      <c r="AX93">
        <v>9</v>
      </c>
      <c r="AY93">
        <v>52</v>
      </c>
      <c r="AZ93">
        <v>1</v>
      </c>
      <c r="BA93">
        <v>0</v>
      </c>
      <c r="BB93">
        <v>0</v>
      </c>
      <c r="BC93">
        <v>1</v>
      </c>
      <c r="BD93">
        <v>394</v>
      </c>
      <c r="BE93">
        <v>15</v>
      </c>
      <c r="BF93">
        <v>0</v>
      </c>
      <c r="BG93">
        <v>0</v>
      </c>
      <c r="BH93" t="s">
        <v>10</v>
      </c>
      <c r="BI93" t="s">
        <v>97</v>
      </c>
      <c r="BJ93" t="s">
        <v>98</v>
      </c>
      <c r="BK93" t="s">
        <v>99</v>
      </c>
      <c r="BL93" s="33" t="s">
        <v>11</v>
      </c>
      <c r="BM93" s="33" t="s">
        <v>100</v>
      </c>
      <c r="BN93" s="33" t="s">
        <v>100</v>
      </c>
      <c r="BO93" s="33" t="s">
        <v>100</v>
      </c>
      <c r="BP93" s="33" t="s">
        <v>101</v>
      </c>
    </row>
    <row r="94" spans="1:68" x14ac:dyDescent="0.25">
      <c r="A94" t="s">
        <v>91</v>
      </c>
      <c r="B94" t="s">
        <v>92</v>
      </c>
      <c r="C94" s="33" t="s">
        <v>18</v>
      </c>
      <c r="D94">
        <v>35</v>
      </c>
      <c r="E94" s="33" t="s">
        <v>20</v>
      </c>
      <c r="F94">
        <v>3543907</v>
      </c>
      <c r="G94" t="s">
        <v>414</v>
      </c>
      <c r="H94">
        <v>35267314</v>
      </c>
      <c r="I94">
        <v>3</v>
      </c>
      <c r="J94">
        <v>1</v>
      </c>
      <c r="K94">
        <v>0</v>
      </c>
      <c r="L94" t="s">
        <v>146</v>
      </c>
      <c r="M94" t="s">
        <v>233</v>
      </c>
      <c r="N94" t="s">
        <v>187</v>
      </c>
      <c r="O94" t="s">
        <v>415</v>
      </c>
      <c r="P94">
        <v>13504164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551</v>
      </c>
      <c r="AN94">
        <v>0</v>
      </c>
      <c r="AO94">
        <v>551</v>
      </c>
      <c r="AP94">
        <v>0</v>
      </c>
      <c r="AQ94">
        <v>0</v>
      </c>
      <c r="AR94">
        <v>0</v>
      </c>
      <c r="AS94">
        <v>21</v>
      </c>
      <c r="AT94">
        <v>282</v>
      </c>
      <c r="AU94">
        <v>269</v>
      </c>
      <c r="AV94">
        <v>139</v>
      </c>
      <c r="AW94">
        <v>286</v>
      </c>
      <c r="AX94">
        <v>17</v>
      </c>
      <c r="AY94">
        <v>107</v>
      </c>
      <c r="AZ94">
        <v>2</v>
      </c>
      <c r="BA94">
        <v>0</v>
      </c>
      <c r="BB94">
        <v>0</v>
      </c>
      <c r="BC94">
        <v>0</v>
      </c>
      <c r="BD94">
        <v>527</v>
      </c>
      <c r="BE94">
        <v>24</v>
      </c>
      <c r="BF94">
        <v>0</v>
      </c>
      <c r="BG94">
        <v>0</v>
      </c>
      <c r="BH94" t="s">
        <v>10</v>
      </c>
      <c r="BI94" t="s">
        <v>97</v>
      </c>
      <c r="BJ94" t="s">
        <v>98</v>
      </c>
      <c r="BK94" t="s">
        <v>99</v>
      </c>
      <c r="BL94" s="33" t="s">
        <v>13</v>
      </c>
      <c r="BM94" s="33" t="s">
        <v>100</v>
      </c>
      <c r="BN94" s="33" t="s">
        <v>100</v>
      </c>
      <c r="BO94" s="33" t="s">
        <v>100</v>
      </c>
      <c r="BP94" s="33" t="s">
        <v>101</v>
      </c>
    </row>
    <row r="95" spans="1:68" x14ac:dyDescent="0.25">
      <c r="A95" t="s">
        <v>91</v>
      </c>
      <c r="B95" t="s">
        <v>92</v>
      </c>
      <c r="C95" s="33" t="s">
        <v>18</v>
      </c>
      <c r="D95">
        <v>35</v>
      </c>
      <c r="E95" s="33" t="s">
        <v>20</v>
      </c>
      <c r="F95">
        <v>3543907</v>
      </c>
      <c r="G95" t="s">
        <v>416</v>
      </c>
      <c r="H95">
        <v>35267326</v>
      </c>
      <c r="I95">
        <v>3</v>
      </c>
      <c r="J95">
        <v>1</v>
      </c>
      <c r="K95">
        <v>0</v>
      </c>
      <c r="L95" t="s">
        <v>417</v>
      </c>
      <c r="M95" t="s">
        <v>320</v>
      </c>
      <c r="O95" t="s">
        <v>418</v>
      </c>
      <c r="P95">
        <v>13501110</v>
      </c>
      <c r="Q95">
        <v>1</v>
      </c>
      <c r="R95">
        <v>1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298</v>
      </c>
      <c r="AN95">
        <v>0</v>
      </c>
      <c r="AO95">
        <v>204</v>
      </c>
      <c r="AP95">
        <v>0</v>
      </c>
      <c r="AQ95">
        <v>0</v>
      </c>
      <c r="AR95">
        <v>94</v>
      </c>
      <c r="AS95">
        <v>66</v>
      </c>
      <c r="AT95">
        <v>143</v>
      </c>
      <c r="AU95">
        <v>155</v>
      </c>
      <c r="AV95">
        <v>49</v>
      </c>
      <c r="AW95">
        <v>194</v>
      </c>
      <c r="AX95">
        <v>11</v>
      </c>
      <c r="AY95">
        <v>44</v>
      </c>
      <c r="AZ95">
        <v>0</v>
      </c>
      <c r="BA95">
        <v>0</v>
      </c>
      <c r="BB95">
        <v>0</v>
      </c>
      <c r="BC95">
        <v>0</v>
      </c>
      <c r="BD95">
        <v>183</v>
      </c>
      <c r="BE95">
        <v>18</v>
      </c>
      <c r="BF95">
        <v>30</v>
      </c>
      <c r="BG95">
        <v>67</v>
      </c>
      <c r="BH95" t="s">
        <v>10</v>
      </c>
      <c r="BI95" t="s">
        <v>97</v>
      </c>
      <c r="BJ95" t="s">
        <v>98</v>
      </c>
      <c r="BK95" t="s">
        <v>99</v>
      </c>
      <c r="BL95" s="33" t="s">
        <v>11</v>
      </c>
      <c r="BM95" s="33" t="s">
        <v>100</v>
      </c>
      <c r="BN95" s="33" t="s">
        <v>100</v>
      </c>
      <c r="BO95" s="33" t="s">
        <v>100</v>
      </c>
      <c r="BP95" s="33" t="s">
        <v>101</v>
      </c>
    </row>
    <row r="96" spans="1:68" x14ac:dyDescent="0.25">
      <c r="A96" t="s">
        <v>91</v>
      </c>
      <c r="B96" t="s">
        <v>92</v>
      </c>
      <c r="C96" s="33" t="s">
        <v>18</v>
      </c>
      <c r="D96">
        <v>35</v>
      </c>
      <c r="E96" s="33" t="s">
        <v>20</v>
      </c>
      <c r="F96">
        <v>3543907</v>
      </c>
      <c r="G96" t="s">
        <v>419</v>
      </c>
      <c r="H96">
        <v>35267338</v>
      </c>
      <c r="I96">
        <v>3</v>
      </c>
      <c r="J96">
        <v>1</v>
      </c>
      <c r="K96">
        <v>0</v>
      </c>
      <c r="L96" t="s">
        <v>420</v>
      </c>
      <c r="M96" t="s">
        <v>191</v>
      </c>
      <c r="N96" t="s">
        <v>192</v>
      </c>
      <c r="O96" t="s">
        <v>162</v>
      </c>
      <c r="P96">
        <v>13504120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595</v>
      </c>
      <c r="AN96">
        <v>0</v>
      </c>
      <c r="AO96">
        <v>595</v>
      </c>
      <c r="AP96">
        <v>0</v>
      </c>
      <c r="AQ96">
        <v>0</v>
      </c>
      <c r="AR96">
        <v>0</v>
      </c>
      <c r="AS96">
        <v>29</v>
      </c>
      <c r="AT96">
        <v>286</v>
      </c>
      <c r="AU96">
        <v>309</v>
      </c>
      <c r="AV96">
        <v>60</v>
      </c>
      <c r="AW96">
        <v>468</v>
      </c>
      <c r="AX96">
        <v>9</v>
      </c>
      <c r="AY96">
        <v>57</v>
      </c>
      <c r="AZ96">
        <v>1</v>
      </c>
      <c r="BA96">
        <v>0</v>
      </c>
      <c r="BB96">
        <v>0</v>
      </c>
      <c r="BC96">
        <v>0</v>
      </c>
      <c r="BD96">
        <v>565</v>
      </c>
      <c r="BE96">
        <v>30</v>
      </c>
      <c r="BF96">
        <v>0</v>
      </c>
      <c r="BG96">
        <v>0</v>
      </c>
      <c r="BH96" t="s">
        <v>10</v>
      </c>
      <c r="BI96" t="s">
        <v>97</v>
      </c>
      <c r="BJ96" t="s">
        <v>98</v>
      </c>
      <c r="BK96" t="s">
        <v>99</v>
      </c>
      <c r="BL96" s="33" t="s">
        <v>13</v>
      </c>
      <c r="BM96" s="33" t="s">
        <v>100</v>
      </c>
      <c r="BN96" s="33" t="s">
        <v>100</v>
      </c>
      <c r="BO96" s="33" t="s">
        <v>100</v>
      </c>
      <c r="BP96" s="33" t="s">
        <v>101</v>
      </c>
    </row>
    <row r="97" spans="1:68" x14ac:dyDescent="0.25">
      <c r="A97" t="s">
        <v>91</v>
      </c>
      <c r="B97" t="s">
        <v>92</v>
      </c>
      <c r="C97" s="33" t="s">
        <v>18</v>
      </c>
      <c r="D97">
        <v>35</v>
      </c>
      <c r="E97" s="33" t="s">
        <v>20</v>
      </c>
      <c r="F97">
        <v>3543907</v>
      </c>
      <c r="G97" t="s">
        <v>421</v>
      </c>
      <c r="H97">
        <v>35267348</v>
      </c>
      <c r="I97">
        <v>3</v>
      </c>
      <c r="J97">
        <v>1</v>
      </c>
      <c r="K97">
        <v>0</v>
      </c>
      <c r="L97" t="s">
        <v>422</v>
      </c>
      <c r="M97" t="s">
        <v>423</v>
      </c>
      <c r="N97" t="s">
        <v>187</v>
      </c>
      <c r="O97" t="s">
        <v>424</v>
      </c>
      <c r="P97">
        <v>13506495</v>
      </c>
      <c r="Q97">
        <v>1</v>
      </c>
      <c r="R97">
        <v>1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450</v>
      </c>
      <c r="AN97">
        <v>0</v>
      </c>
      <c r="AO97">
        <v>402</v>
      </c>
      <c r="AP97">
        <v>0</v>
      </c>
      <c r="AQ97">
        <v>0</v>
      </c>
      <c r="AR97">
        <v>48</v>
      </c>
      <c r="AS97">
        <v>18</v>
      </c>
      <c r="AT97">
        <v>221</v>
      </c>
      <c r="AU97">
        <v>229</v>
      </c>
      <c r="AV97">
        <v>66</v>
      </c>
      <c r="AW97">
        <v>260</v>
      </c>
      <c r="AX97">
        <v>13</v>
      </c>
      <c r="AY97">
        <v>110</v>
      </c>
      <c r="AZ97">
        <v>0</v>
      </c>
      <c r="BA97">
        <v>1</v>
      </c>
      <c r="BB97">
        <v>0</v>
      </c>
      <c r="BC97">
        <v>0</v>
      </c>
      <c r="BD97">
        <v>380</v>
      </c>
      <c r="BE97">
        <v>22</v>
      </c>
      <c r="BF97">
        <v>13</v>
      </c>
      <c r="BG97">
        <v>35</v>
      </c>
      <c r="BH97" t="s">
        <v>10</v>
      </c>
      <c r="BI97" t="s">
        <v>97</v>
      </c>
      <c r="BJ97" t="s">
        <v>98</v>
      </c>
      <c r="BK97" t="s">
        <v>99</v>
      </c>
      <c r="BL97" s="33" t="s">
        <v>11</v>
      </c>
      <c r="BM97" s="33" t="s">
        <v>100</v>
      </c>
      <c r="BN97" s="33" t="s">
        <v>100</v>
      </c>
      <c r="BO97" s="33" t="s">
        <v>100</v>
      </c>
      <c r="BP97" s="33" t="s">
        <v>101</v>
      </c>
    </row>
    <row r="98" spans="1:68" x14ac:dyDescent="0.25">
      <c r="A98" t="s">
        <v>91</v>
      </c>
      <c r="B98" t="s">
        <v>92</v>
      </c>
      <c r="C98" s="33" t="s">
        <v>18</v>
      </c>
      <c r="D98">
        <v>35</v>
      </c>
      <c r="E98" s="33" t="s">
        <v>20</v>
      </c>
      <c r="F98">
        <v>3543907</v>
      </c>
      <c r="G98" t="s">
        <v>425</v>
      </c>
      <c r="H98">
        <v>35267351</v>
      </c>
      <c r="I98">
        <v>3</v>
      </c>
      <c r="J98">
        <v>1</v>
      </c>
      <c r="K98">
        <v>0</v>
      </c>
      <c r="L98" t="s">
        <v>426</v>
      </c>
      <c r="M98" t="s">
        <v>244</v>
      </c>
      <c r="N98" t="s">
        <v>192</v>
      </c>
      <c r="O98" t="s">
        <v>245</v>
      </c>
      <c r="P98">
        <v>13504763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156</v>
      </c>
      <c r="AN98">
        <v>48</v>
      </c>
      <c r="AO98">
        <v>108</v>
      </c>
      <c r="AP98">
        <v>0</v>
      </c>
      <c r="AQ98">
        <v>0</v>
      </c>
      <c r="AR98">
        <v>0</v>
      </c>
      <c r="AS98">
        <v>4</v>
      </c>
      <c r="AT98">
        <v>82</v>
      </c>
      <c r="AU98">
        <v>74</v>
      </c>
      <c r="AV98">
        <v>30</v>
      </c>
      <c r="AW98">
        <v>92</v>
      </c>
      <c r="AX98">
        <v>4</v>
      </c>
      <c r="AY98">
        <v>30</v>
      </c>
      <c r="AZ98">
        <v>0</v>
      </c>
      <c r="BA98">
        <v>0</v>
      </c>
      <c r="BB98">
        <v>12</v>
      </c>
      <c r="BC98">
        <v>33</v>
      </c>
      <c r="BD98">
        <v>105</v>
      </c>
      <c r="BE98">
        <v>6</v>
      </c>
      <c r="BF98">
        <v>0</v>
      </c>
      <c r="BG98">
        <v>0</v>
      </c>
      <c r="BH98" t="s">
        <v>10</v>
      </c>
      <c r="BI98" t="s">
        <v>97</v>
      </c>
      <c r="BJ98" t="s">
        <v>98</v>
      </c>
      <c r="BK98" t="s">
        <v>99</v>
      </c>
      <c r="BL98" s="33" t="s">
        <v>9</v>
      </c>
      <c r="BM98" s="33" t="s">
        <v>100</v>
      </c>
      <c r="BN98" s="33" t="s">
        <v>100</v>
      </c>
      <c r="BO98" s="33" t="s">
        <v>100</v>
      </c>
      <c r="BP98" s="33" t="s">
        <v>101</v>
      </c>
    </row>
    <row r="99" spans="1:68" x14ac:dyDescent="0.25">
      <c r="A99" t="s">
        <v>91</v>
      </c>
      <c r="B99" t="s">
        <v>92</v>
      </c>
      <c r="C99" s="33" t="s">
        <v>18</v>
      </c>
      <c r="D99">
        <v>35</v>
      </c>
      <c r="E99" s="33" t="s">
        <v>20</v>
      </c>
      <c r="F99">
        <v>3543907</v>
      </c>
      <c r="G99" t="s">
        <v>427</v>
      </c>
      <c r="H99">
        <v>35269207</v>
      </c>
      <c r="I99">
        <v>2</v>
      </c>
      <c r="J99">
        <v>1</v>
      </c>
      <c r="K99">
        <v>0</v>
      </c>
      <c r="L99" t="s">
        <v>428</v>
      </c>
      <c r="M99" t="s">
        <v>429</v>
      </c>
      <c r="N99" t="s">
        <v>187</v>
      </c>
      <c r="O99" t="s">
        <v>430</v>
      </c>
      <c r="P99">
        <v>13502340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160</v>
      </c>
      <c r="AN99">
        <v>0</v>
      </c>
      <c r="AO99">
        <v>0</v>
      </c>
      <c r="AP99">
        <v>0</v>
      </c>
      <c r="AQ99">
        <v>0</v>
      </c>
      <c r="AR99">
        <v>160</v>
      </c>
      <c r="AS99">
        <v>3</v>
      </c>
      <c r="AT99">
        <v>0</v>
      </c>
      <c r="AU99">
        <v>160</v>
      </c>
      <c r="AV99">
        <v>29</v>
      </c>
      <c r="AW99">
        <v>56</v>
      </c>
      <c r="AX99">
        <v>8</v>
      </c>
      <c r="AY99">
        <v>67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160</v>
      </c>
      <c r="BH99" t="s">
        <v>8</v>
      </c>
      <c r="BI99" t="s">
        <v>97</v>
      </c>
      <c r="BJ99" t="s">
        <v>98</v>
      </c>
      <c r="BK99" t="s">
        <v>99</v>
      </c>
      <c r="BL99" s="33" t="s">
        <v>9</v>
      </c>
      <c r="BM99" s="33" t="s">
        <v>100</v>
      </c>
      <c r="BN99" s="33" t="s">
        <v>100</v>
      </c>
      <c r="BO99" s="33" t="s">
        <v>100</v>
      </c>
      <c r="BP99" s="33" t="s">
        <v>101</v>
      </c>
    </row>
    <row r="100" spans="1:68" x14ac:dyDescent="0.25">
      <c r="A100" t="s">
        <v>91</v>
      </c>
      <c r="B100" t="s">
        <v>92</v>
      </c>
      <c r="C100" s="33" t="s">
        <v>18</v>
      </c>
      <c r="D100">
        <v>35</v>
      </c>
      <c r="E100" s="33" t="s">
        <v>20</v>
      </c>
      <c r="F100">
        <v>3543907</v>
      </c>
      <c r="G100" t="s">
        <v>431</v>
      </c>
      <c r="H100">
        <v>35282182</v>
      </c>
      <c r="I100">
        <v>3</v>
      </c>
      <c r="J100">
        <v>1</v>
      </c>
      <c r="K100">
        <v>0</v>
      </c>
      <c r="L100" t="s">
        <v>426</v>
      </c>
      <c r="M100" t="s">
        <v>432</v>
      </c>
      <c r="N100" t="s">
        <v>192</v>
      </c>
      <c r="O100" t="s">
        <v>433</v>
      </c>
      <c r="P100">
        <v>13502768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117</v>
      </c>
      <c r="AN100">
        <v>117</v>
      </c>
      <c r="AO100">
        <v>0</v>
      </c>
      <c r="AP100">
        <v>0</v>
      </c>
      <c r="AQ100">
        <v>0</v>
      </c>
      <c r="AR100">
        <v>0</v>
      </c>
      <c r="AS100">
        <v>1</v>
      </c>
      <c r="AT100">
        <v>59</v>
      </c>
      <c r="AU100">
        <v>58</v>
      </c>
      <c r="AV100">
        <v>1</v>
      </c>
      <c r="AW100">
        <v>79</v>
      </c>
      <c r="AX100">
        <v>7</v>
      </c>
      <c r="AY100">
        <v>30</v>
      </c>
      <c r="AZ100">
        <v>0</v>
      </c>
      <c r="BA100">
        <v>0</v>
      </c>
      <c r="BB100">
        <v>117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10</v>
      </c>
      <c r="BI100" t="s">
        <v>97</v>
      </c>
      <c r="BJ100" t="s">
        <v>98</v>
      </c>
      <c r="BK100" t="s">
        <v>99</v>
      </c>
      <c r="BL100" s="33" t="s">
        <v>9</v>
      </c>
      <c r="BM100" s="33" t="s">
        <v>100</v>
      </c>
      <c r="BN100" s="33" t="s">
        <v>100</v>
      </c>
      <c r="BO100" s="33" t="s">
        <v>100</v>
      </c>
      <c r="BP100" s="33" t="s">
        <v>101</v>
      </c>
    </row>
    <row r="101" spans="1:68" x14ac:dyDescent="0.25">
      <c r="A101" t="s">
        <v>91</v>
      </c>
      <c r="B101" t="s">
        <v>92</v>
      </c>
      <c r="C101" s="33" t="s">
        <v>18</v>
      </c>
      <c r="D101">
        <v>35</v>
      </c>
      <c r="E101" s="33" t="s">
        <v>20</v>
      </c>
      <c r="F101">
        <v>3543907</v>
      </c>
      <c r="G101" t="s">
        <v>434</v>
      </c>
      <c r="H101">
        <v>35283812</v>
      </c>
      <c r="I101">
        <v>3</v>
      </c>
      <c r="J101">
        <v>1</v>
      </c>
      <c r="K101">
        <v>0</v>
      </c>
      <c r="L101" t="s">
        <v>435</v>
      </c>
      <c r="M101" t="s">
        <v>436</v>
      </c>
      <c r="O101" t="s">
        <v>228</v>
      </c>
      <c r="P101">
        <v>13504099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126</v>
      </c>
      <c r="AN101">
        <v>126</v>
      </c>
      <c r="AO101">
        <v>0</v>
      </c>
      <c r="AP101">
        <v>0</v>
      </c>
      <c r="AQ101">
        <v>0</v>
      </c>
      <c r="AR101">
        <v>0</v>
      </c>
      <c r="AS101">
        <v>6</v>
      </c>
      <c r="AT101">
        <v>56</v>
      </c>
      <c r="AU101">
        <v>70</v>
      </c>
      <c r="AV101">
        <v>1</v>
      </c>
      <c r="AW101">
        <v>102</v>
      </c>
      <c r="AX101">
        <v>5</v>
      </c>
      <c r="AY101">
        <v>18</v>
      </c>
      <c r="AZ101">
        <v>0</v>
      </c>
      <c r="BA101">
        <v>0</v>
      </c>
      <c r="BB101">
        <v>63</v>
      </c>
      <c r="BC101">
        <v>56</v>
      </c>
      <c r="BD101">
        <v>7</v>
      </c>
      <c r="BE101">
        <v>0</v>
      </c>
      <c r="BF101">
        <v>0</v>
      </c>
      <c r="BG101">
        <v>0</v>
      </c>
      <c r="BH101" t="s">
        <v>10</v>
      </c>
      <c r="BI101" t="s">
        <v>97</v>
      </c>
      <c r="BJ101" t="s">
        <v>98</v>
      </c>
      <c r="BK101" t="s">
        <v>99</v>
      </c>
      <c r="BL101" s="33" t="s">
        <v>9</v>
      </c>
      <c r="BM101" s="33" t="s">
        <v>100</v>
      </c>
      <c r="BN101" s="33" t="s">
        <v>100</v>
      </c>
      <c r="BO101" s="33" t="s">
        <v>100</v>
      </c>
      <c r="BP101" s="33" t="s">
        <v>101</v>
      </c>
    </row>
    <row r="102" spans="1:68" x14ac:dyDescent="0.25">
      <c r="A102" t="s">
        <v>91</v>
      </c>
      <c r="B102" t="s">
        <v>92</v>
      </c>
      <c r="C102" s="33" t="s">
        <v>18</v>
      </c>
      <c r="D102">
        <v>35</v>
      </c>
      <c r="E102" s="33" t="s">
        <v>20</v>
      </c>
      <c r="F102">
        <v>3543907</v>
      </c>
      <c r="G102" t="s">
        <v>437</v>
      </c>
      <c r="H102">
        <v>35285961</v>
      </c>
      <c r="I102">
        <v>3</v>
      </c>
      <c r="J102">
        <v>1</v>
      </c>
      <c r="K102">
        <v>0</v>
      </c>
      <c r="L102" t="s">
        <v>438</v>
      </c>
      <c r="M102" t="s">
        <v>439</v>
      </c>
      <c r="N102" t="s">
        <v>192</v>
      </c>
      <c r="O102" t="s">
        <v>277</v>
      </c>
      <c r="P102">
        <v>13506052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190</v>
      </c>
      <c r="AN102">
        <v>190</v>
      </c>
      <c r="AO102">
        <v>0</v>
      </c>
      <c r="AP102">
        <v>0</v>
      </c>
      <c r="AQ102">
        <v>0</v>
      </c>
      <c r="AR102">
        <v>0</v>
      </c>
      <c r="AS102">
        <v>11</v>
      </c>
      <c r="AT102">
        <v>93</v>
      </c>
      <c r="AU102">
        <v>97</v>
      </c>
      <c r="AV102">
        <v>10</v>
      </c>
      <c r="AW102">
        <v>118</v>
      </c>
      <c r="AX102">
        <v>10</v>
      </c>
      <c r="AY102">
        <v>49</v>
      </c>
      <c r="AZ102">
        <v>3</v>
      </c>
      <c r="BA102">
        <v>0</v>
      </c>
      <c r="BB102">
        <v>42</v>
      </c>
      <c r="BC102">
        <v>137</v>
      </c>
      <c r="BD102">
        <v>11</v>
      </c>
      <c r="BE102">
        <v>0</v>
      </c>
      <c r="BF102">
        <v>0</v>
      </c>
      <c r="BG102">
        <v>0</v>
      </c>
      <c r="BH102" t="s">
        <v>10</v>
      </c>
      <c r="BI102" t="s">
        <v>97</v>
      </c>
      <c r="BJ102" t="s">
        <v>98</v>
      </c>
      <c r="BK102" t="s">
        <v>99</v>
      </c>
      <c r="BL102" s="33" t="s">
        <v>9</v>
      </c>
      <c r="BM102" s="33" t="s">
        <v>100</v>
      </c>
      <c r="BN102" s="33" t="s">
        <v>100</v>
      </c>
      <c r="BO102" s="33" t="s">
        <v>100</v>
      </c>
      <c r="BP102" s="33" t="s">
        <v>101</v>
      </c>
    </row>
    <row r="103" spans="1:68" x14ac:dyDescent="0.25">
      <c r="A103" t="s">
        <v>91</v>
      </c>
      <c r="B103" t="s">
        <v>92</v>
      </c>
      <c r="C103" s="33" t="s">
        <v>18</v>
      </c>
      <c r="D103">
        <v>35</v>
      </c>
      <c r="E103" s="33" t="s">
        <v>20</v>
      </c>
      <c r="F103">
        <v>3543907</v>
      </c>
      <c r="G103" t="s">
        <v>440</v>
      </c>
      <c r="H103">
        <v>35285973</v>
      </c>
      <c r="I103">
        <v>3</v>
      </c>
      <c r="J103">
        <v>1</v>
      </c>
      <c r="K103">
        <v>0</v>
      </c>
      <c r="L103" t="s">
        <v>354</v>
      </c>
      <c r="M103" t="s">
        <v>441</v>
      </c>
      <c r="N103" t="s">
        <v>192</v>
      </c>
      <c r="O103" t="s">
        <v>356</v>
      </c>
      <c r="P103">
        <v>13505420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215</v>
      </c>
      <c r="AN103">
        <v>0</v>
      </c>
      <c r="AO103">
        <v>215</v>
      </c>
      <c r="AP103">
        <v>0</v>
      </c>
      <c r="AQ103">
        <v>0</v>
      </c>
      <c r="AR103">
        <v>0</v>
      </c>
      <c r="AS103">
        <v>10</v>
      </c>
      <c r="AT103">
        <v>112</v>
      </c>
      <c r="AU103">
        <v>103</v>
      </c>
      <c r="AV103">
        <v>14</v>
      </c>
      <c r="AW103">
        <v>91</v>
      </c>
      <c r="AX103">
        <v>17</v>
      </c>
      <c r="AY103">
        <v>91</v>
      </c>
      <c r="AZ103">
        <v>2</v>
      </c>
      <c r="BA103">
        <v>0</v>
      </c>
      <c r="BB103">
        <v>0</v>
      </c>
      <c r="BC103">
        <v>0</v>
      </c>
      <c r="BD103">
        <v>204</v>
      </c>
      <c r="BE103">
        <v>11</v>
      </c>
      <c r="BF103">
        <v>0</v>
      </c>
      <c r="BG103">
        <v>0</v>
      </c>
      <c r="BH103" t="s">
        <v>10</v>
      </c>
      <c r="BI103" t="s">
        <v>97</v>
      </c>
      <c r="BJ103" t="s">
        <v>98</v>
      </c>
      <c r="BK103" t="s">
        <v>99</v>
      </c>
      <c r="BL103" s="33" t="s">
        <v>11</v>
      </c>
      <c r="BM103" s="33" t="s">
        <v>100</v>
      </c>
      <c r="BN103" s="33" t="s">
        <v>100</v>
      </c>
      <c r="BO103" s="33" t="s">
        <v>100</v>
      </c>
      <c r="BP103" s="33" t="s">
        <v>101</v>
      </c>
    </row>
    <row r="104" spans="1:68" x14ac:dyDescent="0.25">
      <c r="A104" t="s">
        <v>91</v>
      </c>
      <c r="B104" t="s">
        <v>92</v>
      </c>
      <c r="C104" s="33" t="s">
        <v>18</v>
      </c>
      <c r="D104">
        <v>35</v>
      </c>
      <c r="E104" s="33" t="s">
        <v>20</v>
      </c>
      <c r="F104">
        <v>3543907</v>
      </c>
      <c r="G104" t="s">
        <v>442</v>
      </c>
      <c r="H104">
        <v>35285985</v>
      </c>
      <c r="I104">
        <v>3</v>
      </c>
      <c r="J104">
        <v>1</v>
      </c>
      <c r="K104">
        <v>0</v>
      </c>
      <c r="L104" t="s">
        <v>443</v>
      </c>
      <c r="M104" t="s">
        <v>389</v>
      </c>
      <c r="N104" t="s">
        <v>192</v>
      </c>
      <c r="O104" t="s">
        <v>444</v>
      </c>
      <c r="P104">
        <v>13504616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151</v>
      </c>
      <c r="AN104">
        <v>151</v>
      </c>
      <c r="AO104">
        <v>0</v>
      </c>
      <c r="AP104">
        <v>0</v>
      </c>
      <c r="AQ104">
        <v>0</v>
      </c>
      <c r="AR104">
        <v>0</v>
      </c>
      <c r="AS104">
        <v>8</v>
      </c>
      <c r="AT104">
        <v>68</v>
      </c>
      <c r="AU104">
        <v>83</v>
      </c>
      <c r="AV104">
        <v>8</v>
      </c>
      <c r="AW104">
        <v>74</v>
      </c>
      <c r="AX104">
        <v>3</v>
      </c>
      <c r="AY104">
        <v>62</v>
      </c>
      <c r="AZ104">
        <v>4</v>
      </c>
      <c r="BA104">
        <v>0</v>
      </c>
      <c r="BB104">
        <v>55</v>
      </c>
      <c r="BC104">
        <v>87</v>
      </c>
      <c r="BD104">
        <v>9</v>
      </c>
      <c r="BE104">
        <v>0</v>
      </c>
      <c r="BF104">
        <v>0</v>
      </c>
      <c r="BG104">
        <v>0</v>
      </c>
      <c r="BH104" t="s">
        <v>10</v>
      </c>
      <c r="BI104" t="s">
        <v>97</v>
      </c>
      <c r="BJ104" t="s">
        <v>98</v>
      </c>
      <c r="BK104" t="s">
        <v>99</v>
      </c>
      <c r="BL104" s="33" t="s">
        <v>9</v>
      </c>
      <c r="BM104" s="33" t="s">
        <v>100</v>
      </c>
      <c r="BN104" s="33" t="s">
        <v>100</v>
      </c>
      <c r="BO104" s="33" t="s">
        <v>100</v>
      </c>
      <c r="BP104" s="33" t="s">
        <v>101</v>
      </c>
    </row>
    <row r="105" spans="1:68" x14ac:dyDescent="0.25">
      <c r="A105" t="s">
        <v>91</v>
      </c>
      <c r="B105" t="s">
        <v>92</v>
      </c>
      <c r="C105" s="33" t="s">
        <v>18</v>
      </c>
      <c r="D105">
        <v>35</v>
      </c>
      <c r="E105" s="33" t="s">
        <v>20</v>
      </c>
      <c r="F105">
        <v>3543907</v>
      </c>
      <c r="G105" t="s">
        <v>445</v>
      </c>
      <c r="H105">
        <v>35286722</v>
      </c>
      <c r="I105">
        <v>3</v>
      </c>
      <c r="J105">
        <v>1</v>
      </c>
      <c r="K105">
        <v>0</v>
      </c>
      <c r="L105" t="s">
        <v>446</v>
      </c>
      <c r="M105" t="s">
        <v>432</v>
      </c>
      <c r="N105" t="s">
        <v>447</v>
      </c>
      <c r="O105" t="s">
        <v>121</v>
      </c>
      <c r="P105">
        <v>13502768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278</v>
      </c>
      <c r="AN105">
        <v>278</v>
      </c>
      <c r="AO105">
        <v>0</v>
      </c>
      <c r="AP105">
        <v>0</v>
      </c>
      <c r="AQ105">
        <v>0</v>
      </c>
      <c r="AR105">
        <v>0</v>
      </c>
      <c r="AS105">
        <v>11</v>
      </c>
      <c r="AT105">
        <v>128</v>
      </c>
      <c r="AU105">
        <v>150</v>
      </c>
      <c r="AV105">
        <v>10</v>
      </c>
      <c r="AW105">
        <v>160</v>
      </c>
      <c r="AX105">
        <v>11</v>
      </c>
      <c r="AY105">
        <v>95</v>
      </c>
      <c r="AZ105">
        <v>2</v>
      </c>
      <c r="BA105">
        <v>0</v>
      </c>
      <c r="BB105">
        <v>55</v>
      </c>
      <c r="BC105">
        <v>204</v>
      </c>
      <c r="BD105">
        <v>19</v>
      </c>
      <c r="BE105">
        <v>0</v>
      </c>
      <c r="BF105">
        <v>0</v>
      </c>
      <c r="BG105">
        <v>0</v>
      </c>
      <c r="BH105" t="s">
        <v>10</v>
      </c>
      <c r="BI105" t="s">
        <v>97</v>
      </c>
      <c r="BJ105" t="s">
        <v>98</v>
      </c>
      <c r="BK105" t="s">
        <v>99</v>
      </c>
      <c r="BL105" s="33" t="s">
        <v>11</v>
      </c>
      <c r="BM105" s="33" t="s">
        <v>100</v>
      </c>
      <c r="BN105" s="33" t="s">
        <v>100</v>
      </c>
      <c r="BO105" s="33" t="s">
        <v>100</v>
      </c>
      <c r="BP105" s="33" t="s">
        <v>101</v>
      </c>
    </row>
    <row r="106" spans="1:68" x14ac:dyDescent="0.25">
      <c r="A106" t="s">
        <v>91</v>
      </c>
      <c r="B106" t="s">
        <v>92</v>
      </c>
      <c r="C106" s="33" t="s">
        <v>18</v>
      </c>
      <c r="D106">
        <v>35</v>
      </c>
      <c r="E106" s="33" t="s">
        <v>20</v>
      </c>
      <c r="F106">
        <v>3543907</v>
      </c>
      <c r="G106" t="s">
        <v>448</v>
      </c>
      <c r="H106">
        <v>35287489</v>
      </c>
      <c r="I106">
        <v>4</v>
      </c>
      <c r="J106">
        <v>1</v>
      </c>
      <c r="L106" t="s">
        <v>358</v>
      </c>
      <c r="M106" t="s">
        <v>449</v>
      </c>
      <c r="N106" t="s">
        <v>192</v>
      </c>
      <c r="O106" t="s">
        <v>129</v>
      </c>
      <c r="P106">
        <v>13501390</v>
      </c>
      <c r="Q106">
        <v>2</v>
      </c>
      <c r="BH106" t="s">
        <v>12</v>
      </c>
      <c r="BI106" t="s">
        <v>97</v>
      </c>
      <c r="BK106" t="s">
        <v>194</v>
      </c>
      <c r="BL106" s="33" t="s">
        <v>15</v>
      </c>
      <c r="BM106" s="33" t="s">
        <v>15</v>
      </c>
      <c r="BN106" s="33" t="s">
        <v>15</v>
      </c>
      <c r="BO106" s="33" t="s">
        <v>15</v>
      </c>
      <c r="BP106" s="33" t="s">
        <v>15</v>
      </c>
    </row>
    <row r="107" spans="1:68" x14ac:dyDescent="0.25">
      <c r="A107" t="s">
        <v>91</v>
      </c>
      <c r="B107" t="s">
        <v>92</v>
      </c>
      <c r="C107" s="33" t="s">
        <v>18</v>
      </c>
      <c r="D107">
        <v>35</v>
      </c>
      <c r="E107" s="33" t="s">
        <v>20</v>
      </c>
      <c r="F107">
        <v>3543907</v>
      </c>
      <c r="G107" t="s">
        <v>450</v>
      </c>
      <c r="H107">
        <v>35296351</v>
      </c>
      <c r="I107">
        <v>2</v>
      </c>
      <c r="J107">
        <v>2</v>
      </c>
      <c r="L107" t="s">
        <v>451</v>
      </c>
      <c r="M107" t="s">
        <v>297</v>
      </c>
      <c r="N107" t="s">
        <v>452</v>
      </c>
      <c r="O107" t="s">
        <v>453</v>
      </c>
      <c r="P107">
        <v>13505647</v>
      </c>
      <c r="Q107">
        <v>2</v>
      </c>
      <c r="BH107" t="s">
        <v>8</v>
      </c>
      <c r="BI107" t="s">
        <v>454</v>
      </c>
      <c r="BK107" t="s">
        <v>194</v>
      </c>
      <c r="BL107" s="33" t="s">
        <v>15</v>
      </c>
      <c r="BM107" s="33" t="s">
        <v>15</v>
      </c>
      <c r="BN107" s="33" t="s">
        <v>15</v>
      </c>
      <c r="BO107" s="33" t="s">
        <v>15</v>
      </c>
      <c r="BP107" s="33" t="s">
        <v>15</v>
      </c>
    </row>
    <row r="108" spans="1:68" x14ac:dyDescent="0.25">
      <c r="A108" t="s">
        <v>91</v>
      </c>
      <c r="B108" t="s">
        <v>92</v>
      </c>
      <c r="C108" s="33" t="s">
        <v>18</v>
      </c>
      <c r="D108">
        <v>35</v>
      </c>
      <c r="E108" s="33" t="s">
        <v>20</v>
      </c>
      <c r="F108">
        <v>3543907</v>
      </c>
      <c r="G108" t="s">
        <v>455</v>
      </c>
      <c r="H108">
        <v>35296363</v>
      </c>
      <c r="I108">
        <v>2</v>
      </c>
      <c r="J108">
        <v>2</v>
      </c>
      <c r="L108" t="s">
        <v>456</v>
      </c>
      <c r="O108" t="s">
        <v>96</v>
      </c>
      <c r="P108">
        <v>13500970</v>
      </c>
      <c r="Q108">
        <v>2</v>
      </c>
      <c r="BH108" t="s">
        <v>8</v>
      </c>
      <c r="BI108" t="s">
        <v>454</v>
      </c>
      <c r="BK108" t="s">
        <v>194</v>
      </c>
      <c r="BL108" s="33" t="s">
        <v>15</v>
      </c>
      <c r="BM108" s="33" t="s">
        <v>15</v>
      </c>
      <c r="BN108" s="33" t="s">
        <v>15</v>
      </c>
      <c r="BO108" s="33" t="s">
        <v>15</v>
      </c>
      <c r="BP108" s="33" t="s">
        <v>15</v>
      </c>
    </row>
    <row r="109" spans="1:68" x14ac:dyDescent="0.25">
      <c r="A109" t="s">
        <v>91</v>
      </c>
      <c r="B109" t="s">
        <v>92</v>
      </c>
      <c r="C109" s="33" t="s">
        <v>18</v>
      </c>
      <c r="D109">
        <v>35</v>
      </c>
      <c r="E109" s="33" t="s">
        <v>20</v>
      </c>
      <c r="F109">
        <v>3543907</v>
      </c>
      <c r="G109" t="s">
        <v>457</v>
      </c>
      <c r="H109">
        <v>35299662</v>
      </c>
      <c r="I109">
        <v>3</v>
      </c>
      <c r="J109">
        <v>1</v>
      </c>
      <c r="K109">
        <v>0</v>
      </c>
      <c r="L109" t="s">
        <v>203</v>
      </c>
      <c r="M109" t="s">
        <v>458</v>
      </c>
      <c r="N109" t="s">
        <v>187</v>
      </c>
      <c r="O109" t="s">
        <v>459</v>
      </c>
      <c r="P109">
        <v>13503665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300</v>
      </c>
      <c r="AN109">
        <v>0</v>
      </c>
      <c r="AO109">
        <v>300</v>
      </c>
      <c r="AP109">
        <v>0</v>
      </c>
      <c r="AQ109">
        <v>0</v>
      </c>
      <c r="AR109">
        <v>0</v>
      </c>
      <c r="AS109">
        <v>5</v>
      </c>
      <c r="AT109">
        <v>147</v>
      </c>
      <c r="AU109">
        <v>153</v>
      </c>
      <c r="AV109">
        <v>20</v>
      </c>
      <c r="AW109">
        <v>157</v>
      </c>
      <c r="AX109">
        <v>11</v>
      </c>
      <c r="AY109">
        <v>112</v>
      </c>
      <c r="AZ109">
        <v>0</v>
      </c>
      <c r="BA109">
        <v>0</v>
      </c>
      <c r="BB109">
        <v>0</v>
      </c>
      <c r="BC109">
        <v>0</v>
      </c>
      <c r="BD109">
        <v>275</v>
      </c>
      <c r="BE109">
        <v>25</v>
      </c>
      <c r="BF109">
        <v>0</v>
      </c>
      <c r="BG109">
        <v>0</v>
      </c>
      <c r="BH109" t="s">
        <v>10</v>
      </c>
      <c r="BI109" t="s">
        <v>97</v>
      </c>
      <c r="BJ109" t="s">
        <v>98</v>
      </c>
      <c r="BK109" t="s">
        <v>99</v>
      </c>
      <c r="BL109" s="33" t="s">
        <v>11</v>
      </c>
      <c r="BM109" s="33" t="s">
        <v>100</v>
      </c>
      <c r="BN109" s="33" t="s">
        <v>100</v>
      </c>
      <c r="BO109" s="33" t="s">
        <v>100</v>
      </c>
      <c r="BP109" s="33" t="s">
        <v>101</v>
      </c>
    </row>
    <row r="110" spans="1:68" x14ac:dyDescent="0.25">
      <c r="A110" t="s">
        <v>91</v>
      </c>
      <c r="B110" t="s">
        <v>92</v>
      </c>
      <c r="C110" s="33" t="s">
        <v>18</v>
      </c>
      <c r="D110">
        <v>35</v>
      </c>
      <c r="E110" s="33" t="s">
        <v>20</v>
      </c>
      <c r="F110">
        <v>3543907</v>
      </c>
      <c r="G110" t="s">
        <v>460</v>
      </c>
      <c r="H110">
        <v>35302200</v>
      </c>
      <c r="I110">
        <v>4</v>
      </c>
      <c r="J110">
        <v>1</v>
      </c>
      <c r="K110">
        <v>0</v>
      </c>
      <c r="L110" t="s">
        <v>212</v>
      </c>
      <c r="M110" t="s">
        <v>461</v>
      </c>
      <c r="N110" t="s">
        <v>192</v>
      </c>
      <c r="O110" t="s">
        <v>125</v>
      </c>
      <c r="P110">
        <v>13505600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41</v>
      </c>
      <c r="AN110">
        <v>41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19</v>
      </c>
      <c r="AU110">
        <v>22</v>
      </c>
      <c r="AV110">
        <v>6</v>
      </c>
      <c r="AW110">
        <v>29</v>
      </c>
      <c r="AX110">
        <v>1</v>
      </c>
      <c r="AY110">
        <v>5</v>
      </c>
      <c r="AZ110">
        <v>0</v>
      </c>
      <c r="BA110">
        <v>0</v>
      </c>
      <c r="BB110">
        <v>20</v>
      </c>
      <c r="BC110">
        <v>20</v>
      </c>
      <c r="BD110">
        <v>1</v>
      </c>
      <c r="BE110">
        <v>0</v>
      </c>
      <c r="BF110">
        <v>0</v>
      </c>
      <c r="BG110">
        <v>0</v>
      </c>
      <c r="BH110" t="s">
        <v>12</v>
      </c>
      <c r="BI110" t="s">
        <v>97</v>
      </c>
      <c r="BJ110" t="s">
        <v>98</v>
      </c>
      <c r="BK110" t="s">
        <v>99</v>
      </c>
      <c r="BL110" s="33" t="s">
        <v>7</v>
      </c>
      <c r="BM110" s="33" t="s">
        <v>100</v>
      </c>
      <c r="BN110" s="33" t="s">
        <v>100</v>
      </c>
      <c r="BO110" s="33" t="s">
        <v>100</v>
      </c>
      <c r="BP110" s="33" t="s">
        <v>101</v>
      </c>
    </row>
    <row r="111" spans="1:68" x14ac:dyDescent="0.25">
      <c r="A111" t="s">
        <v>91</v>
      </c>
      <c r="B111" t="s">
        <v>92</v>
      </c>
      <c r="C111" s="33" t="s">
        <v>18</v>
      </c>
      <c r="D111">
        <v>35</v>
      </c>
      <c r="E111" s="33" t="s">
        <v>20</v>
      </c>
      <c r="F111">
        <v>3543907</v>
      </c>
      <c r="G111" t="s">
        <v>462</v>
      </c>
      <c r="H111">
        <v>35302211</v>
      </c>
      <c r="I111">
        <v>4</v>
      </c>
      <c r="J111">
        <v>1</v>
      </c>
      <c r="K111">
        <v>0</v>
      </c>
      <c r="L111" t="s">
        <v>135</v>
      </c>
      <c r="M111" t="s">
        <v>463</v>
      </c>
      <c r="N111" t="s">
        <v>187</v>
      </c>
      <c r="O111" t="s">
        <v>96</v>
      </c>
      <c r="P111">
        <v>13500181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16</v>
      </c>
      <c r="AN111">
        <v>16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5</v>
      </c>
      <c r="AU111">
        <v>11</v>
      </c>
      <c r="AV111">
        <v>0</v>
      </c>
      <c r="AW111">
        <v>15</v>
      </c>
      <c r="AX111">
        <v>0</v>
      </c>
      <c r="AY111">
        <v>1</v>
      </c>
      <c r="AZ111">
        <v>0</v>
      </c>
      <c r="BA111">
        <v>0</v>
      </c>
      <c r="BB111">
        <v>11</v>
      </c>
      <c r="BC111">
        <v>5</v>
      </c>
      <c r="BD111">
        <v>0</v>
      </c>
      <c r="BE111">
        <v>0</v>
      </c>
      <c r="BF111">
        <v>0</v>
      </c>
      <c r="BG111">
        <v>0</v>
      </c>
      <c r="BH111" t="s">
        <v>12</v>
      </c>
      <c r="BI111" t="s">
        <v>97</v>
      </c>
      <c r="BJ111" t="s">
        <v>98</v>
      </c>
      <c r="BK111" t="s">
        <v>99</v>
      </c>
      <c r="BL111" s="33" t="s">
        <v>7</v>
      </c>
      <c r="BM111" s="33" t="s">
        <v>100</v>
      </c>
      <c r="BN111" s="33" t="s">
        <v>100</v>
      </c>
      <c r="BO111" s="33" t="s">
        <v>100</v>
      </c>
      <c r="BP111" s="33" t="s">
        <v>464</v>
      </c>
    </row>
    <row r="112" spans="1:68" x14ac:dyDescent="0.25">
      <c r="A112" t="s">
        <v>91</v>
      </c>
      <c r="B112" t="s">
        <v>92</v>
      </c>
      <c r="C112" s="33" t="s">
        <v>18</v>
      </c>
      <c r="D112">
        <v>35</v>
      </c>
      <c r="E112" s="33" t="s">
        <v>20</v>
      </c>
      <c r="F112">
        <v>3543907</v>
      </c>
      <c r="G112" t="s">
        <v>465</v>
      </c>
      <c r="H112">
        <v>35302235</v>
      </c>
      <c r="I112">
        <v>4</v>
      </c>
      <c r="J112">
        <v>1</v>
      </c>
      <c r="K112">
        <v>0</v>
      </c>
      <c r="L112" t="s">
        <v>283</v>
      </c>
      <c r="M112" t="s">
        <v>466</v>
      </c>
      <c r="N112" t="s">
        <v>187</v>
      </c>
      <c r="O112" t="s">
        <v>467</v>
      </c>
      <c r="P112">
        <v>13500260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36</v>
      </c>
      <c r="AN112">
        <v>28</v>
      </c>
      <c r="AO112">
        <v>8</v>
      </c>
      <c r="AP112">
        <v>0</v>
      </c>
      <c r="AQ112">
        <v>0</v>
      </c>
      <c r="AR112">
        <v>0</v>
      </c>
      <c r="AS112">
        <v>0</v>
      </c>
      <c r="AT112">
        <v>20</v>
      </c>
      <c r="AU112">
        <v>16</v>
      </c>
      <c r="AV112">
        <v>1</v>
      </c>
      <c r="AW112">
        <v>35</v>
      </c>
      <c r="AX112">
        <v>0</v>
      </c>
      <c r="AY112">
        <v>0</v>
      </c>
      <c r="AZ112">
        <v>0</v>
      </c>
      <c r="BA112">
        <v>0</v>
      </c>
      <c r="BB112">
        <v>13</v>
      </c>
      <c r="BC112">
        <v>17</v>
      </c>
      <c r="BD112">
        <v>6</v>
      </c>
      <c r="BE112">
        <v>0</v>
      </c>
      <c r="BF112">
        <v>0</v>
      </c>
      <c r="BG112">
        <v>0</v>
      </c>
      <c r="BH112" t="s">
        <v>12</v>
      </c>
      <c r="BI112" t="s">
        <v>97</v>
      </c>
      <c r="BJ112" t="s">
        <v>98</v>
      </c>
      <c r="BK112" t="s">
        <v>99</v>
      </c>
      <c r="BL112" s="33" t="s">
        <v>7</v>
      </c>
      <c r="BM112" s="33" t="s">
        <v>100</v>
      </c>
      <c r="BN112" s="33" t="s">
        <v>100</v>
      </c>
      <c r="BO112" s="33" t="s">
        <v>100</v>
      </c>
      <c r="BP112" s="33" t="s">
        <v>101</v>
      </c>
    </row>
    <row r="113" spans="1:68" x14ac:dyDescent="0.25">
      <c r="A113" t="s">
        <v>91</v>
      </c>
      <c r="B113" t="s">
        <v>92</v>
      </c>
      <c r="C113" s="33" t="s">
        <v>18</v>
      </c>
      <c r="D113">
        <v>35</v>
      </c>
      <c r="E113" s="33" t="s">
        <v>20</v>
      </c>
      <c r="F113">
        <v>3543907</v>
      </c>
      <c r="G113" t="s">
        <v>468</v>
      </c>
      <c r="H113">
        <v>35307609</v>
      </c>
      <c r="I113">
        <v>4</v>
      </c>
      <c r="J113">
        <v>1</v>
      </c>
      <c r="K113">
        <v>0</v>
      </c>
      <c r="L113" t="s">
        <v>469</v>
      </c>
      <c r="M113" t="s">
        <v>470</v>
      </c>
      <c r="N113" t="s">
        <v>192</v>
      </c>
      <c r="O113" t="s">
        <v>158</v>
      </c>
      <c r="P113">
        <v>13506675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125</v>
      </c>
      <c r="AN113">
        <v>125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54</v>
      </c>
      <c r="AU113">
        <v>71</v>
      </c>
      <c r="AV113">
        <v>4</v>
      </c>
      <c r="AW113">
        <v>118</v>
      </c>
      <c r="AX113">
        <v>0</v>
      </c>
      <c r="AY113">
        <v>3</v>
      </c>
      <c r="AZ113">
        <v>0</v>
      </c>
      <c r="BA113">
        <v>0</v>
      </c>
      <c r="BB113">
        <v>74</v>
      </c>
      <c r="BC113">
        <v>48</v>
      </c>
      <c r="BD113">
        <v>3</v>
      </c>
      <c r="BE113">
        <v>0</v>
      </c>
      <c r="BF113">
        <v>0</v>
      </c>
      <c r="BG113">
        <v>0</v>
      </c>
      <c r="BH113" t="s">
        <v>12</v>
      </c>
      <c r="BI113" t="s">
        <v>97</v>
      </c>
      <c r="BJ113" t="s">
        <v>98</v>
      </c>
      <c r="BK113" t="s">
        <v>99</v>
      </c>
      <c r="BL113" s="33" t="s">
        <v>9</v>
      </c>
      <c r="BM113" s="33" t="s">
        <v>100</v>
      </c>
      <c r="BN113" s="33" t="s">
        <v>100</v>
      </c>
      <c r="BO113" s="33" t="s">
        <v>100</v>
      </c>
      <c r="BP113" s="33" t="s">
        <v>101</v>
      </c>
    </row>
    <row r="114" spans="1:68" x14ac:dyDescent="0.25">
      <c r="A114" t="s">
        <v>91</v>
      </c>
      <c r="B114" t="s">
        <v>92</v>
      </c>
      <c r="C114" s="33" t="s">
        <v>18</v>
      </c>
      <c r="D114">
        <v>35</v>
      </c>
      <c r="E114" s="33" t="s">
        <v>20</v>
      </c>
      <c r="F114">
        <v>3543907</v>
      </c>
      <c r="G114" t="s">
        <v>471</v>
      </c>
      <c r="H114">
        <v>35366924</v>
      </c>
      <c r="I114">
        <v>4</v>
      </c>
      <c r="J114">
        <v>1</v>
      </c>
      <c r="L114" t="s">
        <v>401</v>
      </c>
      <c r="M114" t="s">
        <v>472</v>
      </c>
      <c r="N114" t="s">
        <v>187</v>
      </c>
      <c r="O114" t="s">
        <v>403</v>
      </c>
      <c r="P114">
        <v>13500511</v>
      </c>
      <c r="Q114">
        <v>3</v>
      </c>
      <c r="BH114" t="s">
        <v>12</v>
      </c>
      <c r="BI114" t="s">
        <v>97</v>
      </c>
      <c r="BK114" t="s">
        <v>194</v>
      </c>
      <c r="BL114" s="33" t="s">
        <v>15</v>
      </c>
      <c r="BM114" s="33" t="s">
        <v>15</v>
      </c>
      <c r="BN114" s="33" t="s">
        <v>15</v>
      </c>
      <c r="BO114" s="33" t="s">
        <v>15</v>
      </c>
      <c r="BP114" s="33" t="s">
        <v>15</v>
      </c>
    </row>
    <row r="115" spans="1:68" x14ac:dyDescent="0.25">
      <c r="A115" t="s">
        <v>91</v>
      </c>
      <c r="B115" t="s">
        <v>92</v>
      </c>
      <c r="C115" s="33" t="s">
        <v>18</v>
      </c>
      <c r="D115">
        <v>35</v>
      </c>
      <c r="E115" s="33" t="s">
        <v>20</v>
      </c>
      <c r="F115">
        <v>3543907</v>
      </c>
      <c r="G115" t="s">
        <v>473</v>
      </c>
      <c r="H115">
        <v>35367011</v>
      </c>
      <c r="I115">
        <v>4</v>
      </c>
      <c r="J115">
        <v>1</v>
      </c>
      <c r="L115" t="s">
        <v>364</v>
      </c>
      <c r="M115" t="s">
        <v>365</v>
      </c>
      <c r="N115" t="s">
        <v>192</v>
      </c>
      <c r="O115" t="s">
        <v>162</v>
      </c>
      <c r="P115">
        <v>13504130</v>
      </c>
      <c r="Q115">
        <v>2</v>
      </c>
      <c r="BH115" t="s">
        <v>12</v>
      </c>
      <c r="BI115" t="s">
        <v>97</v>
      </c>
      <c r="BK115" t="s">
        <v>194</v>
      </c>
      <c r="BL115" s="33" t="s">
        <v>15</v>
      </c>
      <c r="BM115" s="33" t="s">
        <v>15</v>
      </c>
      <c r="BN115" s="33" t="s">
        <v>15</v>
      </c>
      <c r="BO115" s="33" t="s">
        <v>15</v>
      </c>
      <c r="BP115" s="33" t="s">
        <v>15</v>
      </c>
    </row>
    <row r="116" spans="1:68" x14ac:dyDescent="0.25">
      <c r="A116" t="s">
        <v>91</v>
      </c>
      <c r="B116" t="s">
        <v>92</v>
      </c>
      <c r="C116" s="33" t="s">
        <v>18</v>
      </c>
      <c r="D116">
        <v>35</v>
      </c>
      <c r="E116" s="33" t="s">
        <v>20</v>
      </c>
      <c r="F116">
        <v>3543907</v>
      </c>
      <c r="G116" t="s">
        <v>474</v>
      </c>
      <c r="H116">
        <v>35411206</v>
      </c>
      <c r="I116">
        <v>4</v>
      </c>
      <c r="J116">
        <v>1</v>
      </c>
      <c r="K116">
        <v>0</v>
      </c>
      <c r="L116" t="s">
        <v>475</v>
      </c>
      <c r="M116" t="s">
        <v>476</v>
      </c>
      <c r="N116" t="s">
        <v>187</v>
      </c>
      <c r="O116" t="s">
        <v>96</v>
      </c>
      <c r="P116">
        <v>13500030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36</v>
      </c>
      <c r="AN116">
        <v>36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18</v>
      </c>
      <c r="AU116">
        <v>18</v>
      </c>
      <c r="AV116">
        <v>3</v>
      </c>
      <c r="AW116">
        <v>31</v>
      </c>
      <c r="AX116">
        <v>1</v>
      </c>
      <c r="AY116">
        <v>1</v>
      </c>
      <c r="AZ116">
        <v>0</v>
      </c>
      <c r="BA116">
        <v>0</v>
      </c>
      <c r="BB116">
        <v>34</v>
      </c>
      <c r="BC116">
        <v>2</v>
      </c>
      <c r="BD116">
        <v>0</v>
      </c>
      <c r="BE116">
        <v>0</v>
      </c>
      <c r="BF116">
        <v>0</v>
      </c>
      <c r="BG116">
        <v>0</v>
      </c>
      <c r="BH116" t="s">
        <v>12</v>
      </c>
      <c r="BI116" t="s">
        <v>97</v>
      </c>
      <c r="BJ116" t="s">
        <v>98</v>
      </c>
      <c r="BK116" t="s">
        <v>99</v>
      </c>
      <c r="BL116" s="33" t="s">
        <v>7</v>
      </c>
      <c r="BM116" s="33" t="s">
        <v>100</v>
      </c>
      <c r="BN116" s="33" t="s">
        <v>100</v>
      </c>
      <c r="BO116" s="33" t="s">
        <v>100</v>
      </c>
      <c r="BP116" s="33" t="s">
        <v>101</v>
      </c>
    </row>
    <row r="117" spans="1:68" x14ac:dyDescent="0.25">
      <c r="A117" t="s">
        <v>91</v>
      </c>
      <c r="B117" t="s">
        <v>92</v>
      </c>
      <c r="C117" s="33" t="s">
        <v>18</v>
      </c>
      <c r="D117">
        <v>35</v>
      </c>
      <c r="E117" s="33" t="s">
        <v>20</v>
      </c>
      <c r="F117">
        <v>3543907</v>
      </c>
      <c r="G117" t="s">
        <v>477</v>
      </c>
      <c r="H117">
        <v>35411255</v>
      </c>
      <c r="I117">
        <v>4</v>
      </c>
      <c r="J117">
        <v>1</v>
      </c>
      <c r="K117">
        <v>0</v>
      </c>
      <c r="L117" t="s">
        <v>135</v>
      </c>
      <c r="M117" t="s">
        <v>478</v>
      </c>
      <c r="N117" t="s">
        <v>187</v>
      </c>
      <c r="O117" t="s">
        <v>479</v>
      </c>
      <c r="P117">
        <v>13500040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118</v>
      </c>
      <c r="AN117">
        <v>32</v>
      </c>
      <c r="AO117">
        <v>86</v>
      </c>
      <c r="AP117">
        <v>0</v>
      </c>
      <c r="AQ117">
        <v>0</v>
      </c>
      <c r="AR117">
        <v>0</v>
      </c>
      <c r="AS117">
        <v>2</v>
      </c>
      <c r="AT117">
        <v>52</v>
      </c>
      <c r="AU117">
        <v>66</v>
      </c>
      <c r="AV117">
        <v>16</v>
      </c>
      <c r="AW117">
        <v>91</v>
      </c>
      <c r="AX117">
        <v>0</v>
      </c>
      <c r="AY117">
        <v>8</v>
      </c>
      <c r="AZ117">
        <v>3</v>
      </c>
      <c r="BA117">
        <v>0</v>
      </c>
      <c r="BB117">
        <v>1</v>
      </c>
      <c r="BC117">
        <v>29</v>
      </c>
      <c r="BD117">
        <v>88</v>
      </c>
      <c r="BE117">
        <v>0</v>
      </c>
      <c r="BF117">
        <v>0</v>
      </c>
      <c r="BG117">
        <v>0</v>
      </c>
      <c r="BH117" t="s">
        <v>12</v>
      </c>
      <c r="BI117" t="s">
        <v>97</v>
      </c>
      <c r="BJ117" t="s">
        <v>98</v>
      </c>
      <c r="BK117" t="s">
        <v>99</v>
      </c>
      <c r="BL117" s="33" t="s">
        <v>9</v>
      </c>
      <c r="BM117" s="33" t="s">
        <v>100</v>
      </c>
      <c r="BN117" s="33" t="s">
        <v>100</v>
      </c>
      <c r="BO117" s="33" t="s">
        <v>100</v>
      </c>
      <c r="BP117" s="33" t="s">
        <v>101</v>
      </c>
    </row>
    <row r="118" spans="1:68" x14ac:dyDescent="0.25">
      <c r="A118" t="s">
        <v>91</v>
      </c>
      <c r="B118" t="s">
        <v>92</v>
      </c>
      <c r="C118" s="33" t="s">
        <v>18</v>
      </c>
      <c r="D118">
        <v>35</v>
      </c>
      <c r="E118" s="33" t="s">
        <v>20</v>
      </c>
      <c r="F118">
        <v>3543907</v>
      </c>
      <c r="G118" t="s">
        <v>480</v>
      </c>
      <c r="H118">
        <v>35429144</v>
      </c>
      <c r="I118">
        <v>4</v>
      </c>
      <c r="J118">
        <v>1</v>
      </c>
      <c r="K118">
        <v>0</v>
      </c>
      <c r="L118" t="s">
        <v>438</v>
      </c>
      <c r="M118" t="s">
        <v>279</v>
      </c>
      <c r="N118" t="s">
        <v>192</v>
      </c>
      <c r="O118" t="s">
        <v>481</v>
      </c>
      <c r="P118">
        <v>13506052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51</v>
      </c>
      <c r="AN118">
        <v>0</v>
      </c>
      <c r="AO118">
        <v>51</v>
      </c>
      <c r="AP118">
        <v>0</v>
      </c>
      <c r="AQ118">
        <v>0</v>
      </c>
      <c r="AR118">
        <v>0</v>
      </c>
      <c r="AS118">
        <v>0</v>
      </c>
      <c r="AT118">
        <v>26</v>
      </c>
      <c r="AU118">
        <v>25</v>
      </c>
      <c r="AV118">
        <v>4</v>
      </c>
      <c r="AW118">
        <v>41</v>
      </c>
      <c r="AX118">
        <v>0</v>
      </c>
      <c r="AY118">
        <v>6</v>
      </c>
      <c r="AZ118">
        <v>0</v>
      </c>
      <c r="BA118">
        <v>0</v>
      </c>
      <c r="BB118">
        <v>0</v>
      </c>
      <c r="BC118">
        <v>0</v>
      </c>
      <c r="BD118">
        <v>51</v>
      </c>
      <c r="BE118">
        <v>0</v>
      </c>
      <c r="BF118">
        <v>0</v>
      </c>
      <c r="BG118">
        <v>0</v>
      </c>
      <c r="BH118" t="s">
        <v>12</v>
      </c>
      <c r="BI118" t="s">
        <v>97</v>
      </c>
      <c r="BJ118" t="s">
        <v>98</v>
      </c>
      <c r="BK118" t="s">
        <v>99</v>
      </c>
      <c r="BL118" s="33" t="s">
        <v>9</v>
      </c>
      <c r="BM118" s="33" t="s">
        <v>100</v>
      </c>
      <c r="BN118" s="33" t="s">
        <v>100</v>
      </c>
      <c r="BO118" s="33" t="s">
        <v>100</v>
      </c>
      <c r="BP118" s="33" t="s">
        <v>101</v>
      </c>
    </row>
    <row r="119" spans="1:68" x14ac:dyDescent="0.25">
      <c r="A119" t="s">
        <v>91</v>
      </c>
      <c r="B119" t="s">
        <v>92</v>
      </c>
      <c r="C119" s="33" t="s">
        <v>18</v>
      </c>
      <c r="D119">
        <v>35</v>
      </c>
      <c r="E119" s="33" t="s">
        <v>20</v>
      </c>
      <c r="F119">
        <v>3543907</v>
      </c>
      <c r="G119" t="s">
        <v>482</v>
      </c>
      <c r="H119">
        <v>35435485</v>
      </c>
      <c r="I119">
        <v>2</v>
      </c>
      <c r="J119">
        <v>1</v>
      </c>
      <c r="K119">
        <v>0</v>
      </c>
      <c r="L119" t="s">
        <v>483</v>
      </c>
      <c r="M119" t="s">
        <v>484</v>
      </c>
      <c r="O119" t="s">
        <v>121</v>
      </c>
      <c r="P119">
        <v>13502748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1120</v>
      </c>
      <c r="AN119">
        <v>0</v>
      </c>
      <c r="AO119">
        <v>529</v>
      </c>
      <c r="AP119">
        <v>576</v>
      </c>
      <c r="AQ119">
        <v>29</v>
      </c>
      <c r="AR119">
        <v>15</v>
      </c>
      <c r="AS119">
        <v>28</v>
      </c>
      <c r="AT119">
        <v>546</v>
      </c>
      <c r="AU119">
        <v>574</v>
      </c>
      <c r="AV119">
        <v>54</v>
      </c>
      <c r="AW119">
        <v>623</v>
      </c>
      <c r="AX119">
        <v>30</v>
      </c>
      <c r="AY119">
        <v>410</v>
      </c>
      <c r="AZ119">
        <v>1</v>
      </c>
      <c r="BA119">
        <v>2</v>
      </c>
      <c r="BB119">
        <v>0</v>
      </c>
      <c r="BC119">
        <v>0</v>
      </c>
      <c r="BD119">
        <v>1</v>
      </c>
      <c r="BE119">
        <v>486</v>
      </c>
      <c r="BF119">
        <v>566</v>
      </c>
      <c r="BG119">
        <v>67</v>
      </c>
      <c r="BH119" t="s">
        <v>8</v>
      </c>
      <c r="BI119" t="s">
        <v>97</v>
      </c>
      <c r="BJ119" t="s">
        <v>98</v>
      </c>
      <c r="BK119" t="s">
        <v>99</v>
      </c>
      <c r="BL119" s="33" t="s">
        <v>14</v>
      </c>
      <c r="BM119" s="33" t="s">
        <v>100</v>
      </c>
      <c r="BN119" s="33" t="s">
        <v>100</v>
      </c>
      <c r="BO119" s="33" t="s">
        <v>100</v>
      </c>
      <c r="BP119" s="33" t="s">
        <v>101</v>
      </c>
    </row>
    <row r="120" spans="1:68" x14ac:dyDescent="0.25">
      <c r="A120" t="s">
        <v>91</v>
      </c>
      <c r="B120" t="s">
        <v>92</v>
      </c>
      <c r="C120" s="33" t="s">
        <v>18</v>
      </c>
      <c r="D120">
        <v>35</v>
      </c>
      <c r="E120" s="33" t="s">
        <v>20</v>
      </c>
      <c r="F120">
        <v>3543907</v>
      </c>
      <c r="G120" t="s">
        <v>485</v>
      </c>
      <c r="H120">
        <v>35442057</v>
      </c>
      <c r="I120">
        <v>3</v>
      </c>
      <c r="J120">
        <v>1</v>
      </c>
      <c r="K120">
        <v>0</v>
      </c>
      <c r="L120" t="s">
        <v>486</v>
      </c>
      <c r="M120" t="s">
        <v>484</v>
      </c>
      <c r="N120" t="s">
        <v>187</v>
      </c>
      <c r="O120" t="s">
        <v>121</v>
      </c>
      <c r="P120">
        <v>13502748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411</v>
      </c>
      <c r="AN120">
        <v>0</v>
      </c>
      <c r="AO120">
        <v>411</v>
      </c>
      <c r="AP120">
        <v>0</v>
      </c>
      <c r="AQ120">
        <v>0</v>
      </c>
      <c r="AR120">
        <v>0</v>
      </c>
      <c r="AS120">
        <v>22</v>
      </c>
      <c r="AT120">
        <v>193</v>
      </c>
      <c r="AU120">
        <v>218</v>
      </c>
      <c r="AV120">
        <v>25</v>
      </c>
      <c r="AW120">
        <v>255</v>
      </c>
      <c r="AX120">
        <v>17</v>
      </c>
      <c r="AY120">
        <v>111</v>
      </c>
      <c r="AZ120">
        <v>3</v>
      </c>
      <c r="BA120">
        <v>0</v>
      </c>
      <c r="BB120">
        <v>0</v>
      </c>
      <c r="BC120">
        <v>0</v>
      </c>
      <c r="BD120">
        <v>392</v>
      </c>
      <c r="BE120">
        <v>19</v>
      </c>
      <c r="BF120">
        <v>0</v>
      </c>
      <c r="BG120">
        <v>0</v>
      </c>
      <c r="BH120" t="s">
        <v>10</v>
      </c>
      <c r="BI120" t="s">
        <v>97</v>
      </c>
      <c r="BJ120" t="s">
        <v>98</v>
      </c>
      <c r="BK120" t="s">
        <v>99</v>
      </c>
      <c r="BL120" s="33" t="s">
        <v>11</v>
      </c>
      <c r="BM120" s="33" t="s">
        <v>100</v>
      </c>
      <c r="BN120" s="33" t="s">
        <v>100</v>
      </c>
      <c r="BO120" s="33" t="s">
        <v>100</v>
      </c>
      <c r="BP120" s="33" t="s">
        <v>101</v>
      </c>
    </row>
    <row r="121" spans="1:68" x14ac:dyDescent="0.25">
      <c r="A121" t="s">
        <v>91</v>
      </c>
      <c r="B121" t="s">
        <v>92</v>
      </c>
      <c r="C121" s="33" t="s">
        <v>18</v>
      </c>
      <c r="D121">
        <v>35</v>
      </c>
      <c r="E121" s="33" t="s">
        <v>20</v>
      </c>
      <c r="F121">
        <v>3543907</v>
      </c>
      <c r="G121" t="s">
        <v>487</v>
      </c>
      <c r="H121">
        <v>35453675</v>
      </c>
      <c r="I121">
        <v>2</v>
      </c>
      <c r="J121">
        <v>1</v>
      </c>
      <c r="K121">
        <v>0</v>
      </c>
      <c r="L121" t="s">
        <v>488</v>
      </c>
      <c r="M121" t="s">
        <v>297</v>
      </c>
      <c r="N121" t="s">
        <v>187</v>
      </c>
      <c r="O121" t="s">
        <v>129</v>
      </c>
      <c r="P121">
        <v>13501290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39</v>
      </c>
      <c r="AN121">
        <v>0</v>
      </c>
      <c r="AO121">
        <v>0</v>
      </c>
      <c r="AP121">
        <v>0</v>
      </c>
      <c r="AQ121">
        <v>0</v>
      </c>
      <c r="AR121">
        <v>39</v>
      </c>
      <c r="AS121">
        <v>1</v>
      </c>
      <c r="AT121">
        <v>39</v>
      </c>
      <c r="AU121">
        <v>0</v>
      </c>
      <c r="AV121">
        <v>11</v>
      </c>
      <c r="AW121">
        <v>10</v>
      </c>
      <c r="AX121">
        <v>0</v>
      </c>
      <c r="AY121">
        <v>18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39</v>
      </c>
      <c r="BH121" t="s">
        <v>8</v>
      </c>
      <c r="BI121" t="s">
        <v>97</v>
      </c>
      <c r="BJ121" t="s">
        <v>98</v>
      </c>
      <c r="BK121" t="s">
        <v>99</v>
      </c>
      <c r="BL121" s="33" t="s">
        <v>7</v>
      </c>
      <c r="BM121" s="33" t="s">
        <v>100</v>
      </c>
      <c r="BN121" s="33" t="s">
        <v>100</v>
      </c>
      <c r="BO121" s="33" t="s">
        <v>100</v>
      </c>
      <c r="BP121" s="33" t="s">
        <v>101</v>
      </c>
    </row>
    <row r="122" spans="1:68" x14ac:dyDescent="0.25">
      <c r="A122" t="s">
        <v>91</v>
      </c>
      <c r="B122" t="s">
        <v>92</v>
      </c>
      <c r="C122" s="33" t="s">
        <v>18</v>
      </c>
      <c r="D122">
        <v>35</v>
      </c>
      <c r="E122" s="33" t="s">
        <v>20</v>
      </c>
      <c r="F122">
        <v>3543907</v>
      </c>
      <c r="G122" t="s">
        <v>489</v>
      </c>
      <c r="H122">
        <v>35454624</v>
      </c>
      <c r="I122">
        <v>3</v>
      </c>
      <c r="J122">
        <v>1</v>
      </c>
      <c r="K122">
        <v>0</v>
      </c>
      <c r="L122" t="s">
        <v>490</v>
      </c>
      <c r="M122" t="s">
        <v>491</v>
      </c>
      <c r="O122" t="s">
        <v>154</v>
      </c>
      <c r="P122">
        <v>13501090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45</v>
      </c>
      <c r="AN122">
        <v>45</v>
      </c>
      <c r="AO122">
        <v>0</v>
      </c>
      <c r="AP122">
        <v>0</v>
      </c>
      <c r="AQ122">
        <v>0</v>
      </c>
      <c r="AR122">
        <v>0</v>
      </c>
      <c r="AS122">
        <v>3</v>
      </c>
      <c r="AT122">
        <v>21</v>
      </c>
      <c r="AU122">
        <v>24</v>
      </c>
      <c r="AV122">
        <v>0</v>
      </c>
      <c r="AW122">
        <v>37</v>
      </c>
      <c r="AX122">
        <v>1</v>
      </c>
      <c r="AY122">
        <v>7</v>
      </c>
      <c r="AZ122">
        <v>0</v>
      </c>
      <c r="BA122">
        <v>0</v>
      </c>
      <c r="BB122">
        <v>26</v>
      </c>
      <c r="BC122">
        <v>17</v>
      </c>
      <c r="BD122">
        <v>2</v>
      </c>
      <c r="BE122">
        <v>0</v>
      </c>
      <c r="BF122">
        <v>0</v>
      </c>
      <c r="BG122">
        <v>0</v>
      </c>
      <c r="BH122" t="s">
        <v>10</v>
      </c>
      <c r="BI122" t="s">
        <v>97</v>
      </c>
      <c r="BJ122" t="s">
        <v>98</v>
      </c>
      <c r="BK122" t="s">
        <v>99</v>
      </c>
      <c r="BL122" s="33" t="s">
        <v>7</v>
      </c>
      <c r="BM122" s="33" t="s">
        <v>100</v>
      </c>
      <c r="BN122" s="33" t="s">
        <v>100</v>
      </c>
      <c r="BO122" s="33" t="s">
        <v>100</v>
      </c>
      <c r="BP122" s="33" t="s">
        <v>101</v>
      </c>
    </row>
    <row r="123" spans="1:68" x14ac:dyDescent="0.25">
      <c r="A123" t="s">
        <v>91</v>
      </c>
      <c r="B123" t="s">
        <v>92</v>
      </c>
      <c r="C123" s="33" t="s">
        <v>18</v>
      </c>
      <c r="D123">
        <v>35</v>
      </c>
      <c r="E123" s="33" t="s">
        <v>20</v>
      </c>
      <c r="F123">
        <v>3543907</v>
      </c>
      <c r="G123" t="s">
        <v>492</v>
      </c>
      <c r="H123">
        <v>35456184</v>
      </c>
      <c r="I123">
        <v>4</v>
      </c>
      <c r="J123">
        <v>1</v>
      </c>
      <c r="L123" t="s">
        <v>493</v>
      </c>
      <c r="M123" t="s">
        <v>494</v>
      </c>
      <c r="O123" t="s">
        <v>228</v>
      </c>
      <c r="P123">
        <v>13500521</v>
      </c>
      <c r="Q123">
        <v>2</v>
      </c>
      <c r="BH123" t="s">
        <v>12</v>
      </c>
      <c r="BI123" t="s">
        <v>97</v>
      </c>
      <c r="BK123" t="s">
        <v>194</v>
      </c>
      <c r="BL123" s="33" t="s">
        <v>15</v>
      </c>
      <c r="BM123" s="33" t="s">
        <v>15</v>
      </c>
      <c r="BN123" s="33" t="s">
        <v>15</v>
      </c>
      <c r="BO123" s="33" t="s">
        <v>15</v>
      </c>
      <c r="BP123" s="33" t="s">
        <v>15</v>
      </c>
    </row>
    <row r="124" spans="1:68" x14ac:dyDescent="0.25">
      <c r="A124" t="s">
        <v>91</v>
      </c>
      <c r="B124" t="s">
        <v>92</v>
      </c>
      <c r="C124" s="33" t="s">
        <v>18</v>
      </c>
      <c r="D124">
        <v>35</v>
      </c>
      <c r="E124" s="33" t="s">
        <v>20</v>
      </c>
      <c r="F124">
        <v>3543907</v>
      </c>
      <c r="G124" t="s">
        <v>495</v>
      </c>
      <c r="H124">
        <v>35459719</v>
      </c>
      <c r="I124">
        <v>2</v>
      </c>
      <c r="J124">
        <v>1</v>
      </c>
      <c r="L124" t="s">
        <v>305</v>
      </c>
      <c r="M124" t="s">
        <v>204</v>
      </c>
      <c r="N124" t="s">
        <v>187</v>
      </c>
      <c r="O124" t="s">
        <v>479</v>
      </c>
      <c r="P124">
        <v>13500050</v>
      </c>
      <c r="Q124">
        <v>2</v>
      </c>
      <c r="BH124" t="s">
        <v>8</v>
      </c>
      <c r="BI124" t="s">
        <v>97</v>
      </c>
      <c r="BK124" t="s">
        <v>194</v>
      </c>
      <c r="BL124" s="33" t="s">
        <v>15</v>
      </c>
      <c r="BM124" s="33" t="s">
        <v>15</v>
      </c>
      <c r="BN124" s="33" t="s">
        <v>15</v>
      </c>
      <c r="BO124" s="33" t="s">
        <v>15</v>
      </c>
      <c r="BP124" s="33" t="s">
        <v>15</v>
      </c>
    </row>
    <row r="125" spans="1:68" x14ac:dyDescent="0.25">
      <c r="A125" t="s">
        <v>91</v>
      </c>
      <c r="B125" t="s">
        <v>92</v>
      </c>
      <c r="C125" s="33" t="s">
        <v>18</v>
      </c>
      <c r="D125">
        <v>35</v>
      </c>
      <c r="E125" s="33" t="s">
        <v>20</v>
      </c>
      <c r="F125">
        <v>3543907</v>
      </c>
      <c r="G125" t="s">
        <v>496</v>
      </c>
      <c r="H125">
        <v>35462913</v>
      </c>
      <c r="I125">
        <v>3</v>
      </c>
      <c r="J125">
        <v>1</v>
      </c>
      <c r="K125">
        <v>0</v>
      </c>
      <c r="L125" t="s">
        <v>302</v>
      </c>
      <c r="M125" t="s">
        <v>497</v>
      </c>
      <c r="O125" t="s">
        <v>96</v>
      </c>
      <c r="P125">
        <v>13500200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317</v>
      </c>
      <c r="AN125">
        <v>0</v>
      </c>
      <c r="AO125">
        <v>317</v>
      </c>
      <c r="AP125">
        <v>0</v>
      </c>
      <c r="AQ125">
        <v>0</v>
      </c>
      <c r="AR125">
        <v>0</v>
      </c>
      <c r="AS125">
        <v>4</v>
      </c>
      <c r="AT125">
        <v>166</v>
      </c>
      <c r="AU125">
        <v>151</v>
      </c>
      <c r="AV125">
        <v>49</v>
      </c>
      <c r="AW125">
        <v>185</v>
      </c>
      <c r="AX125">
        <v>0</v>
      </c>
      <c r="AY125">
        <v>82</v>
      </c>
      <c r="AZ125">
        <v>1</v>
      </c>
      <c r="BA125">
        <v>0</v>
      </c>
      <c r="BB125">
        <v>0</v>
      </c>
      <c r="BC125">
        <v>0</v>
      </c>
      <c r="BD125">
        <v>308</v>
      </c>
      <c r="BE125">
        <v>9</v>
      </c>
      <c r="BF125">
        <v>0</v>
      </c>
      <c r="BG125">
        <v>0</v>
      </c>
      <c r="BH125" t="s">
        <v>10</v>
      </c>
      <c r="BI125" t="s">
        <v>97</v>
      </c>
      <c r="BJ125" t="s">
        <v>98</v>
      </c>
      <c r="BK125" t="s">
        <v>99</v>
      </c>
      <c r="BL125" s="33" t="s">
        <v>11</v>
      </c>
      <c r="BM125" s="33" t="s">
        <v>100</v>
      </c>
      <c r="BN125" s="33" t="s">
        <v>100</v>
      </c>
      <c r="BO125" s="33" t="s">
        <v>100</v>
      </c>
      <c r="BP125" s="33" t="s">
        <v>101</v>
      </c>
    </row>
    <row r="126" spans="1:68" x14ac:dyDescent="0.25">
      <c r="A126" t="s">
        <v>91</v>
      </c>
      <c r="B126" t="s">
        <v>92</v>
      </c>
      <c r="C126" s="33" t="s">
        <v>18</v>
      </c>
      <c r="D126">
        <v>35</v>
      </c>
      <c r="E126" s="33" t="s">
        <v>20</v>
      </c>
      <c r="F126">
        <v>3543907</v>
      </c>
      <c r="G126" t="s">
        <v>498</v>
      </c>
      <c r="H126">
        <v>35464284</v>
      </c>
      <c r="I126">
        <v>3</v>
      </c>
      <c r="J126">
        <v>1</v>
      </c>
      <c r="K126">
        <v>0</v>
      </c>
      <c r="L126" t="s">
        <v>285</v>
      </c>
      <c r="M126" t="s">
        <v>499</v>
      </c>
      <c r="N126" t="s">
        <v>187</v>
      </c>
      <c r="O126" t="s">
        <v>129</v>
      </c>
      <c r="P126">
        <v>13501340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54</v>
      </c>
      <c r="AN126">
        <v>54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27</v>
      </c>
      <c r="AU126">
        <v>27</v>
      </c>
      <c r="AV126">
        <v>2</v>
      </c>
      <c r="AW126">
        <v>39</v>
      </c>
      <c r="AX126">
        <v>2</v>
      </c>
      <c r="AY126">
        <v>11</v>
      </c>
      <c r="AZ126">
        <v>0</v>
      </c>
      <c r="BA126">
        <v>0</v>
      </c>
      <c r="BB126">
        <v>54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10</v>
      </c>
      <c r="BI126" t="s">
        <v>97</v>
      </c>
      <c r="BJ126" t="s">
        <v>98</v>
      </c>
      <c r="BK126" t="s">
        <v>99</v>
      </c>
      <c r="BL126" s="33" t="s">
        <v>9</v>
      </c>
      <c r="BM126" s="33" t="s">
        <v>100</v>
      </c>
      <c r="BN126" s="33" t="s">
        <v>100</v>
      </c>
      <c r="BO126" s="33" t="s">
        <v>100</v>
      </c>
      <c r="BP126" s="33" t="s">
        <v>101</v>
      </c>
    </row>
    <row r="127" spans="1:68" x14ac:dyDescent="0.25">
      <c r="A127" t="s">
        <v>91</v>
      </c>
      <c r="B127" t="s">
        <v>92</v>
      </c>
      <c r="C127" s="33" t="s">
        <v>18</v>
      </c>
      <c r="D127">
        <v>35</v>
      </c>
      <c r="E127" s="33" t="s">
        <v>20</v>
      </c>
      <c r="F127">
        <v>3543907</v>
      </c>
      <c r="G127" t="s">
        <v>500</v>
      </c>
      <c r="H127">
        <v>35530955</v>
      </c>
      <c r="I127">
        <v>3</v>
      </c>
      <c r="J127">
        <v>1</v>
      </c>
      <c r="K127">
        <v>0</v>
      </c>
      <c r="L127" t="s">
        <v>501</v>
      </c>
      <c r="M127" t="s">
        <v>502</v>
      </c>
      <c r="O127" t="s">
        <v>503</v>
      </c>
      <c r="P127">
        <v>13505533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124</v>
      </c>
      <c r="AN127">
        <v>124</v>
      </c>
      <c r="AO127">
        <v>0</v>
      </c>
      <c r="AP127">
        <v>0</v>
      </c>
      <c r="AQ127">
        <v>0</v>
      </c>
      <c r="AR127">
        <v>0</v>
      </c>
      <c r="AS127">
        <v>4</v>
      </c>
      <c r="AT127">
        <v>64</v>
      </c>
      <c r="AU127">
        <v>60</v>
      </c>
      <c r="AV127">
        <v>8</v>
      </c>
      <c r="AW127">
        <v>71</v>
      </c>
      <c r="AX127">
        <v>4</v>
      </c>
      <c r="AY127">
        <v>40</v>
      </c>
      <c r="AZ127">
        <v>1</v>
      </c>
      <c r="BA127">
        <v>0</v>
      </c>
      <c r="BB127">
        <v>77</v>
      </c>
      <c r="BC127">
        <v>40</v>
      </c>
      <c r="BD127">
        <v>7</v>
      </c>
      <c r="BE127">
        <v>0</v>
      </c>
      <c r="BF127">
        <v>0</v>
      </c>
      <c r="BG127">
        <v>0</v>
      </c>
      <c r="BH127" t="s">
        <v>10</v>
      </c>
      <c r="BI127" t="s">
        <v>97</v>
      </c>
      <c r="BJ127" t="s">
        <v>98</v>
      </c>
      <c r="BK127" t="s">
        <v>99</v>
      </c>
      <c r="BL127" s="33" t="s">
        <v>9</v>
      </c>
      <c r="BM127" s="33" t="s">
        <v>100</v>
      </c>
      <c r="BN127" s="33" t="s">
        <v>100</v>
      </c>
      <c r="BO127" s="33" t="s">
        <v>100</v>
      </c>
      <c r="BP127" s="33" t="s">
        <v>101</v>
      </c>
    </row>
    <row r="128" spans="1:68" x14ac:dyDescent="0.25">
      <c r="A128" t="s">
        <v>91</v>
      </c>
      <c r="B128" t="s">
        <v>92</v>
      </c>
      <c r="C128" s="33" t="s">
        <v>18</v>
      </c>
      <c r="D128">
        <v>35</v>
      </c>
      <c r="E128" s="33" t="s">
        <v>20</v>
      </c>
      <c r="F128">
        <v>3543907</v>
      </c>
      <c r="G128" t="s">
        <v>504</v>
      </c>
      <c r="H128">
        <v>35560686</v>
      </c>
      <c r="I128">
        <v>4</v>
      </c>
      <c r="J128">
        <v>1</v>
      </c>
      <c r="L128" t="s">
        <v>505</v>
      </c>
      <c r="O128" t="s">
        <v>96</v>
      </c>
      <c r="P128">
        <v>13500411</v>
      </c>
      <c r="Q128">
        <v>2</v>
      </c>
      <c r="BH128" t="s">
        <v>12</v>
      </c>
      <c r="BI128" t="s">
        <v>97</v>
      </c>
      <c r="BK128" t="s">
        <v>194</v>
      </c>
      <c r="BL128" s="33" t="s">
        <v>15</v>
      </c>
      <c r="BM128" s="33" t="s">
        <v>15</v>
      </c>
      <c r="BN128" s="33" t="s">
        <v>15</v>
      </c>
      <c r="BO128" s="33" t="s">
        <v>15</v>
      </c>
      <c r="BP128" s="33" t="s">
        <v>15</v>
      </c>
    </row>
    <row r="129" spans="1:68" x14ac:dyDescent="0.25">
      <c r="A129" t="s">
        <v>91</v>
      </c>
      <c r="B129" t="s">
        <v>92</v>
      </c>
      <c r="C129" s="33" t="s">
        <v>18</v>
      </c>
      <c r="D129">
        <v>35</v>
      </c>
      <c r="E129" s="33" t="s">
        <v>20</v>
      </c>
      <c r="F129">
        <v>3543907</v>
      </c>
      <c r="G129" t="s">
        <v>506</v>
      </c>
      <c r="H129">
        <v>35563857</v>
      </c>
      <c r="I129">
        <v>4</v>
      </c>
      <c r="J129">
        <v>1</v>
      </c>
      <c r="L129" t="s">
        <v>507</v>
      </c>
      <c r="M129" t="s">
        <v>508</v>
      </c>
      <c r="O129" t="s">
        <v>96</v>
      </c>
      <c r="P129">
        <v>13500200</v>
      </c>
      <c r="Q129">
        <v>2</v>
      </c>
      <c r="BH129" t="s">
        <v>12</v>
      </c>
      <c r="BI129" t="s">
        <v>97</v>
      </c>
      <c r="BK129" t="s">
        <v>194</v>
      </c>
      <c r="BL129" s="33" t="s">
        <v>15</v>
      </c>
      <c r="BM129" s="33" t="s">
        <v>15</v>
      </c>
      <c r="BN129" s="33" t="s">
        <v>15</v>
      </c>
      <c r="BO129" s="33" t="s">
        <v>15</v>
      </c>
      <c r="BP129" s="33" t="s">
        <v>15</v>
      </c>
    </row>
    <row r="130" spans="1:68" x14ac:dyDescent="0.25">
      <c r="A130" t="s">
        <v>91</v>
      </c>
      <c r="B130" t="s">
        <v>92</v>
      </c>
      <c r="C130" s="33" t="s">
        <v>18</v>
      </c>
      <c r="D130">
        <v>35</v>
      </c>
      <c r="E130" s="33" t="s">
        <v>20</v>
      </c>
      <c r="F130">
        <v>3543907</v>
      </c>
      <c r="G130" t="s">
        <v>509</v>
      </c>
      <c r="H130">
        <v>35583844</v>
      </c>
      <c r="I130">
        <v>3</v>
      </c>
      <c r="J130">
        <v>1</v>
      </c>
      <c r="K130">
        <v>0</v>
      </c>
      <c r="L130" t="s">
        <v>510</v>
      </c>
      <c r="M130" t="s">
        <v>511</v>
      </c>
      <c r="N130" t="s">
        <v>512</v>
      </c>
      <c r="O130" t="s">
        <v>390</v>
      </c>
      <c r="P130">
        <v>13503661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134</v>
      </c>
      <c r="AN130">
        <v>134</v>
      </c>
      <c r="AO130">
        <v>0</v>
      </c>
      <c r="AP130">
        <v>0</v>
      </c>
      <c r="AQ130">
        <v>0</v>
      </c>
      <c r="AR130">
        <v>0</v>
      </c>
      <c r="AS130">
        <v>4</v>
      </c>
      <c r="AT130">
        <v>67</v>
      </c>
      <c r="AU130">
        <v>67</v>
      </c>
      <c r="AV130">
        <v>2</v>
      </c>
      <c r="AW130">
        <v>76</v>
      </c>
      <c r="AX130">
        <v>5</v>
      </c>
      <c r="AY130">
        <v>50</v>
      </c>
      <c r="AZ130">
        <v>1</v>
      </c>
      <c r="BA130">
        <v>0</v>
      </c>
      <c r="BB130">
        <v>89</v>
      </c>
      <c r="BC130">
        <v>41</v>
      </c>
      <c r="BD130">
        <v>4</v>
      </c>
      <c r="BE130">
        <v>0</v>
      </c>
      <c r="BF130">
        <v>0</v>
      </c>
      <c r="BG130">
        <v>0</v>
      </c>
      <c r="BH130" t="s">
        <v>10</v>
      </c>
      <c r="BI130" t="s">
        <v>97</v>
      </c>
      <c r="BJ130" t="s">
        <v>98</v>
      </c>
      <c r="BK130" t="s">
        <v>99</v>
      </c>
      <c r="BL130" s="33" t="s">
        <v>9</v>
      </c>
      <c r="BM130" s="33" t="s">
        <v>100</v>
      </c>
      <c r="BN130" s="33" t="s">
        <v>100</v>
      </c>
      <c r="BO130" s="33" t="s">
        <v>100</v>
      </c>
      <c r="BP130" s="33" t="s">
        <v>101</v>
      </c>
    </row>
    <row r="131" spans="1:68" x14ac:dyDescent="0.25">
      <c r="A131" t="s">
        <v>91</v>
      </c>
      <c r="B131" t="s">
        <v>92</v>
      </c>
      <c r="C131" s="33" t="s">
        <v>18</v>
      </c>
      <c r="D131">
        <v>35</v>
      </c>
      <c r="E131" s="33" t="s">
        <v>20</v>
      </c>
      <c r="F131">
        <v>3543907</v>
      </c>
      <c r="G131" t="s">
        <v>513</v>
      </c>
      <c r="H131">
        <v>35811661</v>
      </c>
      <c r="I131">
        <v>4</v>
      </c>
      <c r="J131">
        <v>1</v>
      </c>
      <c r="K131">
        <v>0</v>
      </c>
      <c r="L131" t="s">
        <v>417</v>
      </c>
      <c r="M131" t="s">
        <v>514</v>
      </c>
      <c r="N131" t="s">
        <v>192</v>
      </c>
      <c r="O131" t="s">
        <v>515</v>
      </c>
      <c r="P131">
        <v>13501110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148</v>
      </c>
      <c r="AN131">
        <v>140</v>
      </c>
      <c r="AO131">
        <v>8</v>
      </c>
      <c r="AP131">
        <v>0</v>
      </c>
      <c r="AQ131">
        <v>0</v>
      </c>
      <c r="AR131">
        <v>0</v>
      </c>
      <c r="AS131">
        <v>0</v>
      </c>
      <c r="AT131">
        <v>78</v>
      </c>
      <c r="AU131">
        <v>70</v>
      </c>
      <c r="AV131">
        <v>4</v>
      </c>
      <c r="AW131">
        <v>134</v>
      </c>
      <c r="AX131">
        <v>2</v>
      </c>
      <c r="AY131">
        <v>7</v>
      </c>
      <c r="AZ131">
        <v>1</v>
      </c>
      <c r="BA131">
        <v>0</v>
      </c>
      <c r="BB131">
        <v>71</v>
      </c>
      <c r="BC131">
        <v>67</v>
      </c>
      <c r="BD131">
        <v>10</v>
      </c>
      <c r="BE131">
        <v>0</v>
      </c>
      <c r="BF131">
        <v>0</v>
      </c>
      <c r="BG131">
        <v>0</v>
      </c>
      <c r="BH131" t="s">
        <v>12</v>
      </c>
      <c r="BI131" t="s">
        <v>97</v>
      </c>
      <c r="BJ131" t="s">
        <v>98</v>
      </c>
      <c r="BK131" t="s">
        <v>99</v>
      </c>
      <c r="BL131" s="33" t="s">
        <v>9</v>
      </c>
      <c r="BM131" s="33" t="s">
        <v>100</v>
      </c>
      <c r="BN131" s="33" t="s">
        <v>100</v>
      </c>
      <c r="BO131" s="33" t="s">
        <v>100</v>
      </c>
      <c r="BP131" s="33" t="s">
        <v>101</v>
      </c>
    </row>
    <row r="132" spans="1:68" x14ac:dyDescent="0.25">
      <c r="A132" t="s">
        <v>91</v>
      </c>
      <c r="B132" t="s">
        <v>92</v>
      </c>
      <c r="C132" s="33" t="s">
        <v>18</v>
      </c>
      <c r="D132">
        <v>35</v>
      </c>
      <c r="E132" s="33" t="s">
        <v>20</v>
      </c>
      <c r="F132">
        <v>3543907</v>
      </c>
      <c r="G132" t="s">
        <v>516</v>
      </c>
      <c r="H132">
        <v>35900448</v>
      </c>
      <c r="I132">
        <v>2</v>
      </c>
      <c r="J132">
        <v>1</v>
      </c>
      <c r="L132" t="s">
        <v>517</v>
      </c>
      <c r="M132" t="s">
        <v>423</v>
      </c>
      <c r="N132" t="s">
        <v>187</v>
      </c>
      <c r="O132" t="s">
        <v>518</v>
      </c>
      <c r="P132">
        <v>13506495</v>
      </c>
      <c r="Q132">
        <v>2</v>
      </c>
      <c r="BH132" t="s">
        <v>8</v>
      </c>
      <c r="BI132" t="s">
        <v>97</v>
      </c>
      <c r="BK132" t="s">
        <v>194</v>
      </c>
      <c r="BL132" s="33" t="s">
        <v>15</v>
      </c>
      <c r="BM132" s="33" t="s">
        <v>15</v>
      </c>
      <c r="BN132" s="33" t="s">
        <v>15</v>
      </c>
      <c r="BO132" s="33" t="s">
        <v>15</v>
      </c>
      <c r="BP132" s="33" t="s">
        <v>15</v>
      </c>
    </row>
    <row r="133" spans="1:68" x14ac:dyDescent="0.25">
      <c r="A133" t="s">
        <v>91</v>
      </c>
      <c r="B133" t="s">
        <v>92</v>
      </c>
      <c r="C133" s="33" t="s">
        <v>18</v>
      </c>
      <c r="D133">
        <v>35</v>
      </c>
      <c r="E133" s="33" t="s">
        <v>20</v>
      </c>
      <c r="F133">
        <v>3543907</v>
      </c>
      <c r="G133" t="s">
        <v>519</v>
      </c>
      <c r="H133">
        <v>35905586</v>
      </c>
      <c r="I133">
        <v>2</v>
      </c>
      <c r="J133">
        <v>1</v>
      </c>
      <c r="K133">
        <v>0</v>
      </c>
      <c r="L133" t="s">
        <v>520</v>
      </c>
      <c r="M133" t="s">
        <v>297</v>
      </c>
      <c r="N133" t="s">
        <v>192</v>
      </c>
      <c r="O133" t="s">
        <v>350</v>
      </c>
      <c r="P133">
        <v>13504687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316</v>
      </c>
      <c r="AN133">
        <v>0</v>
      </c>
      <c r="AO133">
        <v>316</v>
      </c>
      <c r="AP133">
        <v>0</v>
      </c>
      <c r="AQ133">
        <v>0</v>
      </c>
      <c r="AR133">
        <v>0</v>
      </c>
      <c r="AS133">
        <v>11</v>
      </c>
      <c r="AT133">
        <v>148</v>
      </c>
      <c r="AU133">
        <v>168</v>
      </c>
      <c r="AV133">
        <v>62</v>
      </c>
      <c r="AW133">
        <v>178</v>
      </c>
      <c r="AX133">
        <v>8</v>
      </c>
      <c r="AY133">
        <v>67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280</v>
      </c>
      <c r="BF133">
        <v>36</v>
      </c>
      <c r="BG133">
        <v>0</v>
      </c>
      <c r="BH133" t="s">
        <v>8</v>
      </c>
      <c r="BI133" t="s">
        <v>97</v>
      </c>
      <c r="BJ133" t="s">
        <v>98</v>
      </c>
      <c r="BK133" t="s">
        <v>99</v>
      </c>
      <c r="BL133" s="33" t="s">
        <v>11</v>
      </c>
      <c r="BM133" s="33" t="s">
        <v>100</v>
      </c>
      <c r="BN133" s="33" t="s">
        <v>100</v>
      </c>
      <c r="BO133" s="33" t="s">
        <v>100</v>
      </c>
      <c r="BP133" s="33" t="s">
        <v>101</v>
      </c>
    </row>
    <row r="134" spans="1:68" x14ac:dyDescent="0.25">
      <c r="A134" t="s">
        <v>91</v>
      </c>
      <c r="B134" t="s">
        <v>92</v>
      </c>
      <c r="C134" s="33" t="s">
        <v>18</v>
      </c>
      <c r="D134">
        <v>35</v>
      </c>
      <c r="E134" s="33" t="s">
        <v>20</v>
      </c>
      <c r="F134">
        <v>3543907</v>
      </c>
      <c r="G134" t="s">
        <v>521</v>
      </c>
      <c r="H134">
        <v>35905598</v>
      </c>
      <c r="I134">
        <v>2</v>
      </c>
      <c r="J134">
        <v>1</v>
      </c>
      <c r="K134">
        <v>0</v>
      </c>
      <c r="L134" t="s">
        <v>372</v>
      </c>
      <c r="M134" t="s">
        <v>522</v>
      </c>
      <c r="O134" t="s">
        <v>523</v>
      </c>
      <c r="P134">
        <v>13504420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1328</v>
      </c>
      <c r="AN134">
        <v>0</v>
      </c>
      <c r="AO134">
        <v>457</v>
      </c>
      <c r="AP134">
        <v>871</v>
      </c>
      <c r="AQ134">
        <v>26</v>
      </c>
      <c r="AR134">
        <v>0</v>
      </c>
      <c r="AS134">
        <v>38</v>
      </c>
      <c r="AT134">
        <v>618</v>
      </c>
      <c r="AU134">
        <v>710</v>
      </c>
      <c r="AV134">
        <v>141</v>
      </c>
      <c r="AW134">
        <v>745</v>
      </c>
      <c r="AX134">
        <v>38</v>
      </c>
      <c r="AY134">
        <v>403</v>
      </c>
      <c r="AZ134">
        <v>0</v>
      </c>
      <c r="BA134">
        <v>1</v>
      </c>
      <c r="BB134">
        <v>0</v>
      </c>
      <c r="BC134">
        <v>0</v>
      </c>
      <c r="BD134">
        <v>0</v>
      </c>
      <c r="BE134">
        <v>412</v>
      </c>
      <c r="BF134">
        <v>781</v>
      </c>
      <c r="BG134">
        <v>135</v>
      </c>
      <c r="BH134" t="s">
        <v>8</v>
      </c>
      <c r="BI134" t="s">
        <v>97</v>
      </c>
      <c r="BJ134" t="s">
        <v>98</v>
      </c>
      <c r="BK134" t="s">
        <v>99</v>
      </c>
      <c r="BL134" s="33" t="s">
        <v>14</v>
      </c>
      <c r="BM134" s="33" t="s">
        <v>100</v>
      </c>
      <c r="BN134" s="33" t="s">
        <v>100</v>
      </c>
      <c r="BO134" s="33" t="s">
        <v>100</v>
      </c>
      <c r="BP134" s="33" t="s">
        <v>101</v>
      </c>
    </row>
    <row r="135" spans="1:68" x14ac:dyDescent="0.25">
      <c r="A135" t="s">
        <v>91</v>
      </c>
      <c r="B135" t="s">
        <v>92</v>
      </c>
      <c r="C135" s="33" t="s">
        <v>18</v>
      </c>
      <c r="D135">
        <v>35</v>
      </c>
      <c r="E135" s="33" t="s">
        <v>20</v>
      </c>
      <c r="F135">
        <v>3543907</v>
      </c>
      <c r="G135" t="s">
        <v>524</v>
      </c>
      <c r="H135">
        <v>35909567</v>
      </c>
      <c r="I135">
        <v>2</v>
      </c>
      <c r="J135">
        <v>1</v>
      </c>
      <c r="K135">
        <v>0</v>
      </c>
      <c r="L135" t="s">
        <v>288</v>
      </c>
      <c r="M135" t="s">
        <v>525</v>
      </c>
      <c r="N135" t="s">
        <v>187</v>
      </c>
      <c r="O135" t="s">
        <v>188</v>
      </c>
      <c r="P135">
        <v>13506747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810</v>
      </c>
      <c r="AN135">
        <v>0</v>
      </c>
      <c r="AO135">
        <v>320</v>
      </c>
      <c r="AP135">
        <v>490</v>
      </c>
      <c r="AQ135">
        <v>0</v>
      </c>
      <c r="AR135">
        <v>0</v>
      </c>
      <c r="AS135">
        <v>21</v>
      </c>
      <c r="AT135">
        <v>398</v>
      </c>
      <c r="AU135">
        <v>412</v>
      </c>
      <c r="AV135">
        <v>38</v>
      </c>
      <c r="AW135">
        <v>578</v>
      </c>
      <c r="AX135">
        <v>39</v>
      </c>
      <c r="AY135">
        <v>151</v>
      </c>
      <c r="AZ135">
        <v>4</v>
      </c>
      <c r="BA135">
        <v>0</v>
      </c>
      <c r="BB135">
        <v>0</v>
      </c>
      <c r="BC135">
        <v>0</v>
      </c>
      <c r="BD135">
        <v>0</v>
      </c>
      <c r="BE135">
        <v>307</v>
      </c>
      <c r="BF135">
        <v>461</v>
      </c>
      <c r="BG135">
        <v>42</v>
      </c>
      <c r="BH135" t="s">
        <v>8</v>
      </c>
      <c r="BI135" t="s">
        <v>97</v>
      </c>
      <c r="BJ135" t="s">
        <v>98</v>
      </c>
      <c r="BK135" t="s">
        <v>99</v>
      </c>
      <c r="BL135" s="33" t="s">
        <v>13</v>
      </c>
      <c r="BM135" s="33" t="s">
        <v>100</v>
      </c>
      <c r="BN135" s="33" t="s">
        <v>100</v>
      </c>
      <c r="BO135" s="33" t="s">
        <v>100</v>
      </c>
      <c r="BP135" s="33" t="s">
        <v>101</v>
      </c>
    </row>
    <row r="136" spans="1:68" x14ac:dyDescent="0.25">
      <c r="A136" t="s">
        <v>91</v>
      </c>
      <c r="B136" t="s">
        <v>92</v>
      </c>
      <c r="C136" s="33" t="s">
        <v>18</v>
      </c>
      <c r="D136">
        <v>35</v>
      </c>
      <c r="E136" s="33" t="s">
        <v>20</v>
      </c>
      <c r="F136">
        <v>3543907</v>
      </c>
      <c r="G136" t="s">
        <v>526</v>
      </c>
      <c r="H136">
        <v>35911148</v>
      </c>
      <c r="I136">
        <v>2</v>
      </c>
      <c r="J136">
        <v>1</v>
      </c>
      <c r="K136">
        <v>0</v>
      </c>
      <c r="L136" t="s">
        <v>527</v>
      </c>
      <c r="M136" t="s">
        <v>297</v>
      </c>
      <c r="O136" t="s">
        <v>528</v>
      </c>
      <c r="P136">
        <v>13509650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146</v>
      </c>
      <c r="AN136">
        <v>0</v>
      </c>
      <c r="AO136">
        <v>116</v>
      </c>
      <c r="AP136">
        <v>30</v>
      </c>
      <c r="AQ136">
        <v>0</v>
      </c>
      <c r="AR136">
        <v>0</v>
      </c>
      <c r="AS136">
        <v>3</v>
      </c>
      <c r="AT136">
        <v>76</v>
      </c>
      <c r="AU136">
        <v>70</v>
      </c>
      <c r="AV136">
        <v>8</v>
      </c>
      <c r="AW136">
        <v>91</v>
      </c>
      <c r="AX136">
        <v>4</v>
      </c>
      <c r="AY136">
        <v>42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111</v>
      </c>
      <c r="BF136">
        <v>32</v>
      </c>
      <c r="BG136">
        <v>2</v>
      </c>
      <c r="BH136" t="s">
        <v>8</v>
      </c>
      <c r="BI136" t="s">
        <v>97</v>
      </c>
      <c r="BJ136" t="s">
        <v>98</v>
      </c>
      <c r="BK136" t="s">
        <v>99</v>
      </c>
      <c r="BL136" s="33" t="s">
        <v>9</v>
      </c>
      <c r="BM136" s="33" t="s">
        <v>100</v>
      </c>
      <c r="BN136" s="33" t="s">
        <v>100</v>
      </c>
      <c r="BO136" s="33" t="s">
        <v>100</v>
      </c>
      <c r="BP136" s="33" t="s">
        <v>101</v>
      </c>
    </row>
    <row r="137" spans="1:68" x14ac:dyDescent="0.25">
      <c r="A137" t="s">
        <v>91</v>
      </c>
      <c r="B137" t="s">
        <v>92</v>
      </c>
      <c r="C137" s="33" t="s">
        <v>18</v>
      </c>
      <c r="D137">
        <v>35</v>
      </c>
      <c r="E137" s="33" t="s">
        <v>20</v>
      </c>
      <c r="F137">
        <v>3543907</v>
      </c>
      <c r="G137" t="s">
        <v>529</v>
      </c>
      <c r="H137">
        <v>35917916</v>
      </c>
      <c r="I137">
        <v>2</v>
      </c>
      <c r="J137">
        <v>1</v>
      </c>
      <c r="K137">
        <v>0</v>
      </c>
      <c r="L137" t="s">
        <v>530</v>
      </c>
      <c r="M137" t="s">
        <v>531</v>
      </c>
      <c r="N137" t="s">
        <v>192</v>
      </c>
      <c r="O137" t="s">
        <v>125</v>
      </c>
      <c r="P137">
        <v>13505001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1184</v>
      </c>
      <c r="AN137">
        <v>0</v>
      </c>
      <c r="AO137">
        <v>556</v>
      </c>
      <c r="AP137">
        <v>616</v>
      </c>
      <c r="AQ137">
        <v>0</v>
      </c>
      <c r="AR137">
        <v>12</v>
      </c>
      <c r="AS137">
        <v>36</v>
      </c>
      <c r="AT137">
        <v>582</v>
      </c>
      <c r="AU137">
        <v>602</v>
      </c>
      <c r="AV137">
        <v>151</v>
      </c>
      <c r="AW137">
        <v>666</v>
      </c>
      <c r="AX137">
        <v>37</v>
      </c>
      <c r="AY137">
        <v>326</v>
      </c>
      <c r="AZ137">
        <v>2</v>
      </c>
      <c r="BA137">
        <v>2</v>
      </c>
      <c r="BB137">
        <v>0</v>
      </c>
      <c r="BC137">
        <v>0</v>
      </c>
      <c r="BD137">
        <v>1</v>
      </c>
      <c r="BE137">
        <v>512</v>
      </c>
      <c r="BF137">
        <v>610</v>
      </c>
      <c r="BG137">
        <v>61</v>
      </c>
      <c r="BH137" t="s">
        <v>8</v>
      </c>
      <c r="BI137" t="s">
        <v>97</v>
      </c>
      <c r="BJ137" t="s">
        <v>98</v>
      </c>
      <c r="BK137" t="s">
        <v>99</v>
      </c>
      <c r="BL137" s="33" t="s">
        <v>14</v>
      </c>
      <c r="BM137" s="33" t="s">
        <v>100</v>
      </c>
      <c r="BN137" s="33" t="s">
        <v>100</v>
      </c>
      <c r="BO137" s="33" t="s">
        <v>100</v>
      </c>
      <c r="BP137" s="33" t="s">
        <v>101</v>
      </c>
    </row>
    <row r="138" spans="1:68" x14ac:dyDescent="0.25">
      <c r="A138" t="s">
        <v>91</v>
      </c>
      <c r="B138" t="s">
        <v>92</v>
      </c>
      <c r="C138" s="33" t="s">
        <v>18</v>
      </c>
      <c r="D138">
        <v>35</v>
      </c>
      <c r="E138" s="33" t="s">
        <v>20</v>
      </c>
      <c r="F138">
        <v>3543907</v>
      </c>
      <c r="G138" t="s">
        <v>532</v>
      </c>
      <c r="H138">
        <v>35921944</v>
      </c>
      <c r="I138">
        <v>2</v>
      </c>
      <c r="J138">
        <v>1</v>
      </c>
      <c r="K138">
        <v>0</v>
      </c>
      <c r="L138" t="s">
        <v>533</v>
      </c>
      <c r="M138" t="s">
        <v>279</v>
      </c>
      <c r="N138" t="s">
        <v>187</v>
      </c>
      <c r="O138" t="s">
        <v>534</v>
      </c>
      <c r="P138">
        <v>13502414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497</v>
      </c>
      <c r="AN138">
        <v>0</v>
      </c>
      <c r="AO138">
        <v>366</v>
      </c>
      <c r="AP138">
        <v>131</v>
      </c>
      <c r="AQ138">
        <v>0</v>
      </c>
      <c r="AR138">
        <v>0</v>
      </c>
      <c r="AS138">
        <v>16</v>
      </c>
      <c r="AT138">
        <v>222</v>
      </c>
      <c r="AU138">
        <v>275</v>
      </c>
      <c r="AV138">
        <v>16</v>
      </c>
      <c r="AW138">
        <v>272</v>
      </c>
      <c r="AX138">
        <v>28</v>
      </c>
      <c r="AY138">
        <v>179</v>
      </c>
      <c r="AZ138">
        <v>2</v>
      </c>
      <c r="BA138">
        <v>0</v>
      </c>
      <c r="BB138">
        <v>0</v>
      </c>
      <c r="BC138">
        <v>0</v>
      </c>
      <c r="BD138">
        <v>0</v>
      </c>
      <c r="BE138">
        <v>323</v>
      </c>
      <c r="BF138">
        <v>168</v>
      </c>
      <c r="BG138">
        <v>6</v>
      </c>
      <c r="BH138" t="s">
        <v>8</v>
      </c>
      <c r="BI138" t="s">
        <v>97</v>
      </c>
      <c r="BJ138" t="s">
        <v>98</v>
      </c>
      <c r="BK138" t="s">
        <v>99</v>
      </c>
      <c r="BL138" s="33" t="s">
        <v>11</v>
      </c>
      <c r="BM138" s="33" t="s">
        <v>100</v>
      </c>
      <c r="BN138" s="33" t="s">
        <v>100</v>
      </c>
      <c r="BO138" s="33" t="s">
        <v>100</v>
      </c>
      <c r="BP138" s="33" t="s">
        <v>101</v>
      </c>
    </row>
    <row r="139" spans="1:68" x14ac:dyDescent="0.25">
      <c r="A139" t="s">
        <v>91</v>
      </c>
      <c r="B139" t="s">
        <v>92</v>
      </c>
      <c r="C139" s="33" t="s">
        <v>18</v>
      </c>
      <c r="D139">
        <v>35</v>
      </c>
      <c r="E139" s="33" t="s">
        <v>20</v>
      </c>
      <c r="F139">
        <v>3543907</v>
      </c>
      <c r="G139" t="s">
        <v>535</v>
      </c>
      <c r="H139">
        <v>35021623</v>
      </c>
      <c r="I139">
        <v>2</v>
      </c>
      <c r="J139">
        <v>1</v>
      </c>
      <c r="K139">
        <v>0</v>
      </c>
      <c r="L139" t="s">
        <v>536</v>
      </c>
      <c r="M139" t="s">
        <v>537</v>
      </c>
      <c r="O139" t="s">
        <v>538</v>
      </c>
      <c r="P139">
        <v>13508516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657</v>
      </c>
      <c r="AN139">
        <v>0</v>
      </c>
      <c r="AO139">
        <v>317</v>
      </c>
      <c r="AP139">
        <v>340</v>
      </c>
      <c r="AQ139">
        <v>0</v>
      </c>
      <c r="AR139">
        <v>0</v>
      </c>
      <c r="AS139">
        <v>21</v>
      </c>
      <c r="AT139">
        <v>344</v>
      </c>
      <c r="AU139">
        <v>313</v>
      </c>
      <c r="AV139">
        <v>4</v>
      </c>
      <c r="AW139">
        <v>443</v>
      </c>
      <c r="AX139">
        <v>19</v>
      </c>
      <c r="AY139">
        <v>190</v>
      </c>
      <c r="AZ139">
        <v>0</v>
      </c>
      <c r="BA139">
        <v>1</v>
      </c>
      <c r="BB139">
        <v>0</v>
      </c>
      <c r="BC139">
        <v>0</v>
      </c>
      <c r="BD139">
        <v>146</v>
      </c>
      <c r="BE139">
        <v>159</v>
      </c>
      <c r="BF139">
        <v>318</v>
      </c>
      <c r="BG139">
        <v>34</v>
      </c>
      <c r="BH139" t="s">
        <v>8</v>
      </c>
      <c r="BI139" t="s">
        <v>97</v>
      </c>
      <c r="BJ139" t="s">
        <v>98</v>
      </c>
      <c r="BK139" t="s">
        <v>99</v>
      </c>
      <c r="BL139" s="33" t="s">
        <v>13</v>
      </c>
      <c r="BM139" s="33" t="s">
        <v>100</v>
      </c>
      <c r="BN139" s="33" t="s">
        <v>100</v>
      </c>
      <c r="BO139" s="33" t="s">
        <v>100</v>
      </c>
      <c r="BP139" s="33" t="s">
        <v>101</v>
      </c>
    </row>
    <row r="140" spans="1:68" x14ac:dyDescent="0.25">
      <c r="A140" t="s">
        <v>91</v>
      </c>
      <c r="B140" t="s">
        <v>92</v>
      </c>
      <c r="C140" s="33" t="s">
        <v>18</v>
      </c>
      <c r="D140">
        <v>35</v>
      </c>
      <c r="E140" s="33" t="s">
        <v>20</v>
      </c>
      <c r="F140">
        <v>3543907</v>
      </c>
      <c r="G140" t="s">
        <v>539</v>
      </c>
      <c r="H140">
        <v>35078694</v>
      </c>
      <c r="I140">
        <v>3</v>
      </c>
      <c r="J140">
        <v>1</v>
      </c>
      <c r="K140">
        <v>0</v>
      </c>
      <c r="L140" t="s">
        <v>540</v>
      </c>
      <c r="M140" t="s">
        <v>541</v>
      </c>
      <c r="O140" t="s">
        <v>542</v>
      </c>
      <c r="P140">
        <v>13508653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203</v>
      </c>
      <c r="AN140">
        <v>203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100</v>
      </c>
      <c r="AU140">
        <v>103</v>
      </c>
      <c r="AV140">
        <v>5</v>
      </c>
      <c r="AW140">
        <v>136</v>
      </c>
      <c r="AX140">
        <v>9</v>
      </c>
      <c r="AY140">
        <v>53</v>
      </c>
      <c r="AZ140">
        <v>0</v>
      </c>
      <c r="BA140">
        <v>0</v>
      </c>
      <c r="BB140">
        <v>80</v>
      </c>
      <c r="BC140">
        <v>106</v>
      </c>
      <c r="BD140">
        <v>17</v>
      </c>
      <c r="BE140">
        <v>0</v>
      </c>
      <c r="BF140">
        <v>0</v>
      </c>
      <c r="BG140">
        <v>0</v>
      </c>
      <c r="BH140" t="s">
        <v>10</v>
      </c>
      <c r="BI140" t="s">
        <v>97</v>
      </c>
      <c r="BJ140" t="s">
        <v>98</v>
      </c>
      <c r="BK140" t="s">
        <v>99</v>
      </c>
      <c r="BL140" s="33" t="s">
        <v>11</v>
      </c>
      <c r="BM140" s="33" t="s">
        <v>100</v>
      </c>
      <c r="BN140" s="33" t="s">
        <v>100</v>
      </c>
      <c r="BO140" s="33" t="s">
        <v>100</v>
      </c>
      <c r="BP140" s="33" t="s">
        <v>101</v>
      </c>
    </row>
    <row r="141" spans="1:68" x14ac:dyDescent="0.25">
      <c r="A141" t="s">
        <v>91</v>
      </c>
      <c r="B141" t="s">
        <v>92</v>
      </c>
      <c r="C141" s="33" t="s">
        <v>18</v>
      </c>
      <c r="D141">
        <v>35</v>
      </c>
      <c r="E141" s="33" t="s">
        <v>20</v>
      </c>
      <c r="F141">
        <v>3543907</v>
      </c>
      <c r="G141" t="s">
        <v>543</v>
      </c>
      <c r="H141">
        <v>35098966</v>
      </c>
      <c r="I141">
        <v>3</v>
      </c>
      <c r="J141">
        <v>2</v>
      </c>
      <c r="K141">
        <v>0</v>
      </c>
      <c r="L141" t="s">
        <v>123</v>
      </c>
      <c r="M141" t="s">
        <v>544</v>
      </c>
      <c r="N141" t="s">
        <v>545</v>
      </c>
      <c r="O141" t="s">
        <v>546</v>
      </c>
      <c r="P141">
        <v>13508500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312</v>
      </c>
      <c r="AN141">
        <v>0</v>
      </c>
      <c r="AO141">
        <v>312</v>
      </c>
      <c r="AP141">
        <v>0</v>
      </c>
      <c r="AQ141">
        <v>0</v>
      </c>
      <c r="AR141">
        <v>0</v>
      </c>
      <c r="AS141">
        <v>12</v>
      </c>
      <c r="AT141">
        <v>137</v>
      </c>
      <c r="AU141">
        <v>175</v>
      </c>
      <c r="AV141">
        <v>31</v>
      </c>
      <c r="AW141">
        <v>191</v>
      </c>
      <c r="AX141">
        <v>3</v>
      </c>
      <c r="AY141">
        <v>86</v>
      </c>
      <c r="AZ141">
        <v>0</v>
      </c>
      <c r="BA141">
        <v>1</v>
      </c>
      <c r="BB141">
        <v>0</v>
      </c>
      <c r="BC141">
        <v>0</v>
      </c>
      <c r="BD141">
        <v>165</v>
      </c>
      <c r="BE141">
        <v>140</v>
      </c>
      <c r="BF141">
        <v>7</v>
      </c>
      <c r="BG141">
        <v>0</v>
      </c>
      <c r="BH141" t="s">
        <v>10</v>
      </c>
      <c r="BI141" t="s">
        <v>454</v>
      </c>
      <c r="BJ141" t="s">
        <v>98</v>
      </c>
      <c r="BK141" t="s">
        <v>99</v>
      </c>
      <c r="BL141" s="33" t="s">
        <v>11</v>
      </c>
      <c r="BM141" s="33" t="s">
        <v>100</v>
      </c>
      <c r="BN141" s="33" t="s">
        <v>100</v>
      </c>
      <c r="BO141" s="33" t="s">
        <v>113</v>
      </c>
      <c r="BP141" s="33" t="s">
        <v>101</v>
      </c>
    </row>
    <row r="142" spans="1:68" x14ac:dyDescent="0.25">
      <c r="A142" t="s">
        <v>91</v>
      </c>
      <c r="B142" t="s">
        <v>92</v>
      </c>
      <c r="C142" s="33" t="s">
        <v>18</v>
      </c>
      <c r="D142">
        <v>35</v>
      </c>
      <c r="E142" s="33" t="s">
        <v>20</v>
      </c>
      <c r="F142">
        <v>3543907</v>
      </c>
      <c r="G142" t="s">
        <v>547</v>
      </c>
      <c r="H142">
        <v>35267363</v>
      </c>
      <c r="I142">
        <v>3</v>
      </c>
      <c r="J142">
        <v>1</v>
      </c>
      <c r="K142">
        <v>0</v>
      </c>
      <c r="L142" t="s">
        <v>548</v>
      </c>
      <c r="M142" t="s">
        <v>549</v>
      </c>
      <c r="O142" t="s">
        <v>550</v>
      </c>
      <c r="P142">
        <v>13508758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43</v>
      </c>
      <c r="AN142">
        <v>13</v>
      </c>
      <c r="AO142">
        <v>30</v>
      </c>
      <c r="AP142">
        <v>0</v>
      </c>
      <c r="AQ142">
        <v>0</v>
      </c>
      <c r="AR142">
        <v>0</v>
      </c>
      <c r="AS142">
        <v>1</v>
      </c>
      <c r="AT142">
        <v>22</v>
      </c>
      <c r="AU142">
        <v>21</v>
      </c>
      <c r="AV142">
        <v>4</v>
      </c>
      <c r="AW142">
        <v>22</v>
      </c>
      <c r="AX142">
        <v>3</v>
      </c>
      <c r="AY142">
        <v>14</v>
      </c>
      <c r="AZ142">
        <v>0</v>
      </c>
      <c r="BA142">
        <v>0</v>
      </c>
      <c r="BB142">
        <v>2</v>
      </c>
      <c r="BC142">
        <v>10</v>
      </c>
      <c r="BD142">
        <v>28</v>
      </c>
      <c r="BE142">
        <v>3</v>
      </c>
      <c r="BF142">
        <v>0</v>
      </c>
      <c r="BG142">
        <v>0</v>
      </c>
      <c r="BH142" t="s">
        <v>10</v>
      </c>
      <c r="BI142" t="s">
        <v>97</v>
      </c>
      <c r="BJ142" t="s">
        <v>98</v>
      </c>
      <c r="BK142" t="s">
        <v>99</v>
      </c>
      <c r="BL142" s="33" t="s">
        <v>7</v>
      </c>
      <c r="BM142" s="33" t="s">
        <v>100</v>
      </c>
      <c r="BN142" s="33" t="s">
        <v>100</v>
      </c>
      <c r="BO142" s="33" t="s">
        <v>100</v>
      </c>
      <c r="BP142" s="33" t="s">
        <v>101</v>
      </c>
    </row>
    <row r="143" spans="1:68" x14ac:dyDescent="0.25">
      <c r="A143" t="s">
        <v>91</v>
      </c>
      <c r="B143" t="s">
        <v>92</v>
      </c>
      <c r="C143" s="33" t="s">
        <v>18</v>
      </c>
      <c r="D143">
        <v>35</v>
      </c>
      <c r="E143" s="33" t="s">
        <v>20</v>
      </c>
      <c r="F143">
        <v>3543907</v>
      </c>
      <c r="G143" t="s">
        <v>550</v>
      </c>
      <c r="H143">
        <v>35355148</v>
      </c>
      <c r="I143">
        <v>2</v>
      </c>
      <c r="J143">
        <v>2</v>
      </c>
      <c r="L143" t="s">
        <v>550</v>
      </c>
      <c r="M143" t="s">
        <v>297</v>
      </c>
      <c r="O143" t="s">
        <v>550</v>
      </c>
      <c r="P143">
        <v>13508971</v>
      </c>
      <c r="Q143">
        <v>2</v>
      </c>
      <c r="BH143" t="s">
        <v>8</v>
      </c>
      <c r="BI143" t="s">
        <v>454</v>
      </c>
      <c r="BK143" t="s">
        <v>194</v>
      </c>
      <c r="BL143" s="33" t="s">
        <v>15</v>
      </c>
      <c r="BM143" s="33" t="s">
        <v>15</v>
      </c>
      <c r="BN143" s="33" t="s">
        <v>15</v>
      </c>
      <c r="BO143" s="33" t="s">
        <v>15</v>
      </c>
      <c r="BP143" s="33" t="s">
        <v>15</v>
      </c>
    </row>
    <row r="144" spans="1:68" x14ac:dyDescent="0.25">
      <c r="A144" t="s">
        <v>91</v>
      </c>
      <c r="B144" t="s">
        <v>92</v>
      </c>
      <c r="C144" s="33" t="s">
        <v>18</v>
      </c>
      <c r="D144">
        <v>35</v>
      </c>
      <c r="E144" s="33" t="s">
        <v>20</v>
      </c>
      <c r="F144">
        <v>3543907</v>
      </c>
      <c r="G144" t="s">
        <v>551</v>
      </c>
      <c r="H144">
        <v>35285959</v>
      </c>
      <c r="I144">
        <v>3</v>
      </c>
      <c r="J144">
        <v>1</v>
      </c>
      <c r="K144">
        <v>0</v>
      </c>
      <c r="L144" t="s">
        <v>302</v>
      </c>
      <c r="M144" t="s">
        <v>552</v>
      </c>
      <c r="N144" t="s">
        <v>187</v>
      </c>
      <c r="O144" t="s">
        <v>96</v>
      </c>
      <c r="P144">
        <v>13509666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152</v>
      </c>
      <c r="AN144">
        <v>71</v>
      </c>
      <c r="AO144">
        <v>81</v>
      </c>
      <c r="AP144">
        <v>0</v>
      </c>
      <c r="AQ144">
        <v>0</v>
      </c>
      <c r="AR144">
        <v>0</v>
      </c>
      <c r="AS144">
        <v>13</v>
      </c>
      <c r="AT144">
        <v>74</v>
      </c>
      <c r="AU144">
        <v>78</v>
      </c>
      <c r="AV144">
        <v>49</v>
      </c>
      <c r="AW144">
        <v>77</v>
      </c>
      <c r="AX144">
        <v>4</v>
      </c>
      <c r="AY144">
        <v>22</v>
      </c>
      <c r="AZ144">
        <v>0</v>
      </c>
      <c r="BA144">
        <v>0</v>
      </c>
      <c r="BB144">
        <v>28</v>
      </c>
      <c r="BC144">
        <v>41</v>
      </c>
      <c r="BD144">
        <v>80</v>
      </c>
      <c r="BE144">
        <v>3</v>
      </c>
      <c r="BF144">
        <v>0</v>
      </c>
      <c r="BG144">
        <v>0</v>
      </c>
      <c r="BH144" t="s">
        <v>10</v>
      </c>
      <c r="BI144" t="s">
        <v>97</v>
      </c>
      <c r="BJ144" t="s">
        <v>98</v>
      </c>
      <c r="BK144" t="s">
        <v>99</v>
      </c>
      <c r="BL144" s="33" t="s">
        <v>9</v>
      </c>
      <c r="BM144" s="33" t="s">
        <v>100</v>
      </c>
      <c r="BN144" s="33" t="s">
        <v>100</v>
      </c>
      <c r="BO144" s="33" t="s">
        <v>100</v>
      </c>
      <c r="BP144" s="33" t="s">
        <v>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2" width="18" customWidth="1"/>
  </cols>
  <sheetData>
    <row r="1" spans="1:11" ht="21" x14ac:dyDescent="0.35">
      <c r="A1" s="25" t="str">
        <f>"Indicadores de infraestrutura — "&amp;Filtro_Municipio!B3&amp;" ("&amp;Filtro_Municipio!B2&amp;")"</f>
        <v>Indicadores de infraestrutura — Rio Claro (SP)</v>
      </c>
      <c r="B1" s="12"/>
      <c r="C1" s="12"/>
      <c r="D1" s="12"/>
      <c r="E1" s="12"/>
      <c r="F1" s="12"/>
      <c r="G1" s="12"/>
      <c r="H1" s="12"/>
    </row>
    <row r="3" spans="1:11" x14ac:dyDescent="0.25">
      <c r="A3" s="1" t="s">
        <v>553</v>
      </c>
      <c r="D3" s="1" t="s">
        <v>554</v>
      </c>
      <c r="G3" s="1" t="s">
        <v>555</v>
      </c>
      <c r="J3" s="1" t="s">
        <v>556</v>
      </c>
    </row>
    <row r="4" spans="1:11" x14ac:dyDescent="0.25">
      <c r="A4" s="2" t="s">
        <v>5</v>
      </c>
      <c r="B4" s="2" t="s">
        <v>6</v>
      </c>
      <c r="D4" s="2" t="s">
        <v>5</v>
      </c>
      <c r="E4" s="2" t="s">
        <v>6</v>
      </c>
      <c r="G4" s="2" t="s">
        <v>5</v>
      </c>
      <c r="H4" s="2" t="s">
        <v>6</v>
      </c>
      <c r="J4" s="2" t="s">
        <v>5</v>
      </c>
      <c r="K4" s="2" t="s">
        <v>6</v>
      </c>
    </row>
    <row r="5" spans="1:11" ht="20.100000000000001" customHeight="1" x14ac:dyDescent="0.25">
      <c r="A5" t="s">
        <v>100</v>
      </c>
      <c r="B5" s="6">
        <f>COUNTIF(DadosTratados!$BM:$BM,A5)</f>
        <v>122</v>
      </c>
      <c r="D5" t="s">
        <v>100</v>
      </c>
      <c r="E5" s="6">
        <f>COUNTIF(DadosTratados!$BN:$BN,D5)</f>
        <v>122</v>
      </c>
      <c r="G5" t="s">
        <v>100</v>
      </c>
      <c r="H5" s="6">
        <f>COUNTIF(DadosTratados!$BO:$BO,G5)</f>
        <v>120</v>
      </c>
      <c r="J5" t="s">
        <v>101</v>
      </c>
      <c r="K5" s="6">
        <f>COUNTIF(DadosTratados!$BP:$BP,J5)</f>
        <v>121</v>
      </c>
    </row>
    <row r="6" spans="1:11" ht="20.100000000000001" customHeight="1" x14ac:dyDescent="0.25">
      <c r="A6" t="s">
        <v>557</v>
      </c>
      <c r="B6" s="6">
        <f>COUNTIF(DadosTratados!$BM:$BM,A6)</f>
        <v>0</v>
      </c>
      <c r="D6" t="s">
        <v>558</v>
      </c>
      <c r="E6" s="6">
        <f>COUNTIF(DadosTratados!$BN:$BN,D6)</f>
        <v>0</v>
      </c>
      <c r="G6" t="s">
        <v>113</v>
      </c>
      <c r="H6" s="6">
        <f>COUNTIF(DadosTratados!$BO:$BO,G6)</f>
        <v>2</v>
      </c>
      <c r="J6" t="s">
        <v>559</v>
      </c>
      <c r="K6" s="6">
        <f>COUNTIF(DadosTratados!$BP:$BP,J6)</f>
        <v>0</v>
      </c>
    </row>
    <row r="7" spans="1:11" ht="20.100000000000001" customHeight="1" x14ac:dyDescent="0.25">
      <c r="A7" t="s">
        <v>560</v>
      </c>
      <c r="B7" s="6">
        <f>COUNTIF(DadosTratados!$BM:$BM,A7)</f>
        <v>0</v>
      </c>
      <c r="D7" t="s">
        <v>561</v>
      </c>
      <c r="E7" s="6">
        <f>COUNTIF(DadosTratados!$BN:$BN,D7)</f>
        <v>0</v>
      </c>
      <c r="G7" t="s">
        <v>562</v>
      </c>
      <c r="H7" s="6">
        <f>COUNTIF(DadosTratados!$BO:$BO,G7)</f>
        <v>0</v>
      </c>
      <c r="J7" t="s">
        <v>563</v>
      </c>
      <c r="K7" s="6">
        <f>COUNTIF(DadosTratados!$BP:$BP,J7)</f>
        <v>0</v>
      </c>
    </row>
    <row r="8" spans="1:11" ht="20.100000000000001" customHeight="1" x14ac:dyDescent="0.25">
      <c r="A8" t="s">
        <v>564</v>
      </c>
      <c r="B8" s="6">
        <f>COUNTIF(DadosTratados!$BM:$BM,A8)</f>
        <v>0</v>
      </c>
      <c r="D8" t="s">
        <v>565</v>
      </c>
      <c r="E8" s="6">
        <f>COUNTIF(DadosTratados!$BN:$BN,D8)</f>
        <v>0</v>
      </c>
      <c r="G8" t="s">
        <v>566</v>
      </c>
      <c r="H8" s="6">
        <f>COUNTIF(DadosTratados!$BO:$BO,G8)</f>
        <v>0</v>
      </c>
      <c r="J8" t="s">
        <v>567</v>
      </c>
      <c r="K8" s="6">
        <f>COUNTIF(DadosTratados!$BP:$BP,J8)</f>
        <v>0</v>
      </c>
    </row>
    <row r="9" spans="1:11" ht="20.100000000000001" customHeight="1" x14ac:dyDescent="0.25">
      <c r="A9" t="s">
        <v>565</v>
      </c>
      <c r="B9" s="6">
        <f>COUNTIF(DadosTratados!$BM:$BM,A9)</f>
        <v>0</v>
      </c>
      <c r="D9" t="s">
        <v>15</v>
      </c>
      <c r="E9" s="6">
        <f>COUNTIF(DadosTratados!$BN:$BN,D9)</f>
        <v>21</v>
      </c>
      <c r="G9" t="s">
        <v>565</v>
      </c>
      <c r="H9" s="6">
        <f>COUNTIF(DadosTratados!$BO:$BO,G9)</f>
        <v>0</v>
      </c>
      <c r="J9" t="s">
        <v>464</v>
      </c>
      <c r="K9" s="6">
        <f>COUNTIF(DadosTratados!$BP:$BP,J9)</f>
        <v>1</v>
      </c>
    </row>
    <row r="10" spans="1:11" ht="20.100000000000001" customHeight="1" x14ac:dyDescent="0.25">
      <c r="A10" t="s">
        <v>568</v>
      </c>
      <c r="B10" s="6">
        <f>COUNTIF(DadosTratados!$BM:$BM,A10)</f>
        <v>0</v>
      </c>
      <c r="G10" t="s">
        <v>15</v>
      </c>
      <c r="H10" s="6">
        <f>COUNTIF(DadosTratados!$BO:$BO,G10)</f>
        <v>21</v>
      </c>
      <c r="J10" t="s">
        <v>15</v>
      </c>
      <c r="K10" s="6">
        <f>COUNTIF(DadosTratados!$BP:$BP,J10)</f>
        <v>21</v>
      </c>
    </row>
    <row r="11" spans="1:11" ht="20.100000000000001" customHeight="1" x14ac:dyDescent="0.25">
      <c r="A11" t="s">
        <v>15</v>
      </c>
      <c r="B11" s="6">
        <f>COUNTIF(DadosTratados!$BM:$BM,A11)</f>
        <v>21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D87DE7-892D-4741-A266-68CA05C389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Dashboard</vt:lpstr>
      <vt:lpstr>Tabelas_Dinâmicas</vt:lpstr>
      <vt:lpstr>Filtro_Municipio</vt:lpstr>
      <vt:lpstr>DadosTratados</vt:lpstr>
      <vt:lpstr>Infraestrutura</vt:lpstr>
      <vt:lpstr>CensoCaminho</vt:lpstr>
      <vt:lpstr>Município</vt:lpstr>
      <vt:lpstr>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STEMPFER LEAL</cp:lastModifiedBy>
  <dcterms:created xsi:type="dcterms:W3CDTF">2026-10-04T20:39:32Z</dcterms:created>
  <dcterms:modified xsi:type="dcterms:W3CDTF">2026-10-05T01:50:50Z</dcterms:modified>
</cp:coreProperties>
</file>